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Amit Dubli\BITSoM course\Capstone Project\part3-20260616T154100Z-3-001\part3\"/>
    </mc:Choice>
  </mc:AlternateContent>
  <xr:revisionPtr revIDLastSave="0" documentId="13_ncr:1_{AD08E593-E73F-4ECF-911E-807766ED8BCB}" xr6:coauthVersionLast="47" xr6:coauthVersionMax="47" xr10:uidLastSave="{00000000-0000-0000-0000-000000000000}"/>
  <bookViews>
    <workbookView xWindow="-108" yWindow="-108" windowWidth="23256" windowHeight="12456" tabRatio="903" xr2:uid="{00000000-000D-0000-FFFF-FFFF00000000}"/>
  </bookViews>
  <sheets>
    <sheet name="Original dataset sheet" sheetId="14" r:id="rId1"/>
    <sheet name="Cleaned-prepared data sheet" sheetId="3" r:id="rId2"/>
    <sheet name="Simple_Marketing" sheetId="6" r:id="rId3"/>
    <sheet name="Simple_footfall" sheetId="7" r:id="rId4"/>
    <sheet name="Simple Regression Models" sheetId="8" r:id="rId5"/>
    <sheet name="Dummy variable creation sheet" sheetId="5" r:id="rId6"/>
    <sheet name="Multiple_regression_few" sheetId="11" r:id="rId7"/>
    <sheet name="Multiple Regression Models" sheetId="13" r:id="rId8"/>
    <sheet name="Multiple_regression_all" sheetId="12" r:id="rId9"/>
    <sheet name="residual_analysis" sheetId="15" r:id="rId10"/>
    <sheet name="Top 5 residuals" sheetId="16" r:id="rId11"/>
  </sheets>
  <definedNames>
    <definedName name="_xlnm._FilterDatabase" localSheetId="1" hidden="1">'Cleaned-prepared data sheet'!$A$1:$N$321</definedName>
    <definedName name="_xlnm._FilterDatabase" localSheetId="0" hidden="1">'Original dataset sheet'!$A$1:$N$1</definedName>
    <definedName name="_xlnm._FilterDatabase" localSheetId="9" hidden="1">residual_analysis!$A$1:$L$321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16" l="1"/>
  <c r="K15" i="16" s="1"/>
  <c r="L15" i="16" s="1"/>
  <c r="J14" i="16"/>
  <c r="K14" i="16" s="1"/>
  <c r="L14" i="16" s="1"/>
  <c r="J13" i="16"/>
  <c r="K13" i="16" s="1"/>
  <c r="L13" i="16" s="1"/>
  <c r="J12" i="16"/>
  <c r="K12" i="16" s="1"/>
  <c r="L12" i="16" s="1"/>
  <c r="J11" i="16"/>
  <c r="K11" i="16" s="1"/>
  <c r="L11" i="16" s="1"/>
  <c r="J7" i="16"/>
  <c r="K7" i="16" s="1"/>
  <c r="L7" i="16" s="1"/>
  <c r="J6" i="16"/>
  <c r="K6" i="16" s="1"/>
  <c r="L6" i="16" s="1"/>
  <c r="J5" i="16"/>
  <c r="K5" i="16" s="1"/>
  <c r="L5" i="16" s="1"/>
  <c r="J4" i="16"/>
  <c r="K4" i="16" s="1"/>
  <c r="L4" i="16" s="1"/>
  <c r="J3" i="16"/>
  <c r="K3" i="16" s="1"/>
  <c r="L3" i="16" s="1"/>
  <c r="L35" i="15"/>
  <c r="K12" i="15"/>
  <c r="L12" i="15" s="1"/>
  <c r="K24" i="15"/>
  <c r="L24" i="15" s="1"/>
  <c r="K116" i="15"/>
  <c r="L116" i="15" s="1"/>
  <c r="K122" i="15"/>
  <c r="L122" i="15" s="1"/>
  <c r="K9" i="15"/>
  <c r="L9" i="15" s="1"/>
  <c r="K166" i="15"/>
  <c r="L166" i="15" s="1"/>
  <c r="K147" i="15"/>
  <c r="L147" i="15" s="1"/>
  <c r="K229" i="15"/>
  <c r="L229" i="15" s="1"/>
  <c r="K63" i="15"/>
  <c r="L63" i="15" s="1"/>
  <c r="K113" i="15"/>
  <c r="L113" i="15" s="1"/>
  <c r="K261" i="15"/>
  <c r="L261" i="15" s="1"/>
  <c r="K21" i="15"/>
  <c r="L21" i="15" s="1"/>
  <c r="K48" i="15"/>
  <c r="L48" i="15" s="1"/>
  <c r="K317" i="15"/>
  <c r="L317" i="15" s="1"/>
  <c r="K61" i="15"/>
  <c r="L61" i="15" s="1"/>
  <c r="K299" i="15"/>
  <c r="L299" i="15" s="1"/>
  <c r="K118" i="15"/>
  <c r="L118" i="15" s="1"/>
  <c r="K260" i="15"/>
  <c r="L260" i="15" s="1"/>
  <c r="K200" i="15"/>
  <c r="L200" i="15" s="1"/>
  <c r="K224" i="15"/>
  <c r="L224" i="15" s="1"/>
  <c r="K42" i="15"/>
  <c r="L42" i="15" s="1"/>
  <c r="K56" i="15"/>
  <c r="L56" i="15" s="1"/>
  <c r="K20" i="15"/>
  <c r="L20" i="15" s="1"/>
  <c r="K199" i="15"/>
  <c r="L199" i="15" s="1"/>
  <c r="K204" i="15"/>
  <c r="L204" i="15" s="1"/>
  <c r="K183" i="15"/>
  <c r="L183" i="15" s="1"/>
  <c r="K87" i="15"/>
  <c r="L87" i="15" s="1"/>
  <c r="K219" i="15"/>
  <c r="L219" i="15" s="1"/>
  <c r="K285" i="15"/>
  <c r="L285" i="15" s="1"/>
  <c r="K158" i="15"/>
  <c r="L158" i="15" s="1"/>
  <c r="K191" i="15"/>
  <c r="L191" i="15" s="1"/>
  <c r="K89" i="15"/>
  <c r="L89" i="15" s="1"/>
  <c r="K185" i="15"/>
  <c r="L185" i="15" s="1"/>
  <c r="K159" i="15"/>
  <c r="L159" i="15" s="1"/>
  <c r="K288" i="15"/>
  <c r="L288" i="15" s="1"/>
  <c r="K15" i="15"/>
  <c r="L15" i="15" s="1"/>
  <c r="K26" i="15"/>
  <c r="L26" i="15" s="1"/>
  <c r="K146" i="15"/>
  <c r="L146" i="15" s="1"/>
  <c r="K236" i="15"/>
  <c r="L236" i="15" s="1"/>
  <c r="K262" i="15"/>
  <c r="L262" i="15" s="1"/>
  <c r="K45" i="15"/>
  <c r="L45" i="15" s="1"/>
  <c r="K250" i="15"/>
  <c r="L250" i="15" s="1"/>
  <c r="K301" i="15"/>
  <c r="L301" i="15" s="1"/>
  <c r="K303" i="15"/>
  <c r="L303" i="15" s="1"/>
  <c r="K238" i="15"/>
  <c r="L238" i="15" s="1"/>
  <c r="K41" i="15"/>
  <c r="L41" i="15" s="1"/>
  <c r="K309" i="15"/>
  <c r="L309" i="15" s="1"/>
  <c r="K222" i="15"/>
  <c r="L222" i="15" s="1"/>
  <c r="K228" i="15"/>
  <c r="L228" i="15" s="1"/>
  <c r="K101" i="15"/>
  <c r="L101" i="15" s="1"/>
  <c r="K34" i="15"/>
  <c r="L34" i="15" s="1"/>
  <c r="K104" i="15"/>
  <c r="L104" i="15" s="1"/>
  <c r="K307" i="15"/>
  <c r="L307" i="15" s="1"/>
  <c r="K298" i="15"/>
  <c r="L298" i="15" s="1"/>
  <c r="K142" i="15"/>
  <c r="L142" i="15" s="1"/>
  <c r="K287" i="15"/>
  <c r="L287" i="15" s="1"/>
  <c r="K284" i="15"/>
  <c r="L284" i="15" s="1"/>
  <c r="J12" i="15"/>
  <c r="J24" i="15"/>
  <c r="J6" i="15"/>
  <c r="K6" i="15" s="1"/>
  <c r="L6" i="15" s="1"/>
  <c r="J97" i="15"/>
  <c r="K97" i="15" s="1"/>
  <c r="L97" i="15" s="1"/>
  <c r="J69" i="15"/>
  <c r="K69" i="15" s="1"/>
  <c r="L69" i="15" s="1"/>
  <c r="J181" i="15"/>
  <c r="K181" i="15" s="1"/>
  <c r="L181" i="15" s="1"/>
  <c r="J310" i="15"/>
  <c r="K310" i="15" s="1"/>
  <c r="L310" i="15" s="1"/>
  <c r="J295" i="15"/>
  <c r="K295" i="15" s="1"/>
  <c r="L295" i="15" s="1"/>
  <c r="J95" i="15"/>
  <c r="K95" i="15" s="1"/>
  <c r="L95" i="15" s="1"/>
  <c r="J66" i="15"/>
  <c r="K66" i="15" s="1"/>
  <c r="L66" i="15" s="1"/>
  <c r="J227" i="15"/>
  <c r="K227" i="15" s="1"/>
  <c r="L227" i="15" s="1"/>
  <c r="J232" i="15"/>
  <c r="K232" i="15" s="1"/>
  <c r="L232" i="15" s="1"/>
  <c r="J39" i="15"/>
  <c r="K39" i="15" s="1"/>
  <c r="L39" i="15" s="1"/>
  <c r="J171" i="15"/>
  <c r="K171" i="15" s="1"/>
  <c r="L171" i="15" s="1"/>
  <c r="J116" i="15"/>
  <c r="J122" i="15"/>
  <c r="J128" i="15"/>
  <c r="K128" i="15" s="1"/>
  <c r="L128" i="15" s="1"/>
  <c r="J157" i="15"/>
  <c r="K157" i="15" s="1"/>
  <c r="L157" i="15" s="1"/>
  <c r="J151" i="15"/>
  <c r="K151" i="15" s="1"/>
  <c r="L151" i="15" s="1"/>
  <c r="J14" i="15"/>
  <c r="K14" i="15" s="1"/>
  <c r="L14" i="15" s="1"/>
  <c r="J187" i="15"/>
  <c r="K187" i="15" s="1"/>
  <c r="L187" i="15" s="1"/>
  <c r="J198" i="15"/>
  <c r="K198" i="15" s="1"/>
  <c r="L198" i="15" s="1"/>
  <c r="J237" i="15"/>
  <c r="K237" i="15" s="1"/>
  <c r="L237" i="15" s="1"/>
  <c r="J132" i="15"/>
  <c r="K132" i="15" s="1"/>
  <c r="L132" i="15" s="1"/>
  <c r="J9" i="15"/>
  <c r="J166" i="15"/>
  <c r="J147" i="15"/>
  <c r="J19" i="15"/>
  <c r="K19" i="15" s="1"/>
  <c r="L19" i="15" s="1"/>
  <c r="J202" i="15"/>
  <c r="K202" i="15" s="1"/>
  <c r="L202" i="15" s="1"/>
  <c r="J107" i="15"/>
  <c r="K107" i="15" s="1"/>
  <c r="L107" i="15" s="1"/>
  <c r="J37" i="15"/>
  <c r="K37" i="15" s="1"/>
  <c r="L37" i="15" s="1"/>
  <c r="J5" i="15"/>
  <c r="K5" i="15" s="1"/>
  <c r="L5" i="15" s="1"/>
  <c r="J35" i="15"/>
  <c r="K35" i="15" s="1"/>
  <c r="J186" i="15"/>
  <c r="K186" i="15" s="1"/>
  <c r="L186" i="15" s="1"/>
  <c r="J214" i="15"/>
  <c r="K214" i="15" s="1"/>
  <c r="L214" i="15" s="1"/>
  <c r="J239" i="15"/>
  <c r="K239" i="15" s="1"/>
  <c r="L239" i="15" s="1"/>
  <c r="J86" i="15"/>
  <c r="K86" i="15" s="1"/>
  <c r="L86" i="15" s="1"/>
  <c r="J91" i="15"/>
  <c r="K91" i="15" s="1"/>
  <c r="L91" i="15" s="1"/>
  <c r="J217" i="15"/>
  <c r="K217" i="15" s="1"/>
  <c r="L217" i="15" s="1"/>
  <c r="J229" i="15"/>
  <c r="J75" i="15"/>
  <c r="K75" i="15" s="1"/>
  <c r="L75" i="15" s="1"/>
  <c r="J277" i="15"/>
  <c r="K277" i="15" s="1"/>
  <c r="L277" i="15" s="1"/>
  <c r="J124" i="15"/>
  <c r="K124" i="15" s="1"/>
  <c r="L124" i="15" s="1"/>
  <c r="J2" i="15"/>
  <c r="K2" i="15" s="1"/>
  <c r="L2" i="15" s="1"/>
  <c r="J177" i="15"/>
  <c r="K177" i="15" s="1"/>
  <c r="L177" i="15" s="1"/>
  <c r="J274" i="15"/>
  <c r="K274" i="15" s="1"/>
  <c r="L274" i="15" s="1"/>
  <c r="J210" i="15"/>
  <c r="K210" i="15" s="1"/>
  <c r="L210" i="15" s="1"/>
  <c r="J154" i="15"/>
  <c r="K154" i="15" s="1"/>
  <c r="L154" i="15" s="1"/>
  <c r="J63" i="15"/>
  <c r="J113" i="15"/>
  <c r="J261" i="15"/>
  <c r="J7" i="15"/>
  <c r="K7" i="15" s="1"/>
  <c r="L7" i="15" s="1"/>
  <c r="J278" i="15"/>
  <c r="K278" i="15" s="1"/>
  <c r="L278" i="15" s="1"/>
  <c r="J271" i="15"/>
  <c r="K271" i="15" s="1"/>
  <c r="L271" i="15" s="1"/>
  <c r="J47" i="15"/>
  <c r="K47" i="15" s="1"/>
  <c r="L47" i="15" s="1"/>
  <c r="J106" i="15"/>
  <c r="K106" i="15" s="1"/>
  <c r="L106" i="15" s="1"/>
  <c r="J16" i="15"/>
  <c r="K16" i="15" s="1"/>
  <c r="L16" i="15" s="1"/>
  <c r="J31" i="15"/>
  <c r="K31" i="15" s="1"/>
  <c r="L31" i="15" s="1"/>
  <c r="J21" i="15"/>
  <c r="J308" i="15"/>
  <c r="K308" i="15" s="1"/>
  <c r="L308" i="15" s="1"/>
  <c r="J257" i="15"/>
  <c r="K257" i="15" s="1"/>
  <c r="L257" i="15" s="1"/>
  <c r="J137" i="15"/>
  <c r="K137" i="15" s="1"/>
  <c r="L137" i="15" s="1"/>
  <c r="J275" i="15"/>
  <c r="K275" i="15" s="1"/>
  <c r="L275" i="15" s="1"/>
  <c r="J141" i="15"/>
  <c r="K141" i="15" s="1"/>
  <c r="L141" i="15" s="1"/>
  <c r="J156" i="15"/>
  <c r="K156" i="15" s="1"/>
  <c r="L156" i="15" s="1"/>
  <c r="J4" i="15"/>
  <c r="K4" i="15" s="1"/>
  <c r="L4" i="15" s="1"/>
  <c r="J225" i="15"/>
  <c r="K225" i="15" s="1"/>
  <c r="L225" i="15" s="1"/>
  <c r="J291" i="15"/>
  <c r="K291" i="15" s="1"/>
  <c r="L291" i="15" s="1"/>
  <c r="J43" i="15"/>
  <c r="K43" i="15" s="1"/>
  <c r="L43" i="15" s="1"/>
  <c r="J267" i="15"/>
  <c r="K267" i="15" s="1"/>
  <c r="L267" i="15" s="1"/>
  <c r="J241" i="15"/>
  <c r="K241" i="15" s="1"/>
  <c r="L241" i="15" s="1"/>
  <c r="J174" i="15"/>
  <c r="K174" i="15" s="1"/>
  <c r="L174" i="15" s="1"/>
  <c r="J48" i="15"/>
  <c r="J317" i="15"/>
  <c r="J61" i="15"/>
  <c r="J55" i="15"/>
  <c r="K55" i="15" s="1"/>
  <c r="L55" i="15" s="1"/>
  <c r="J247" i="15"/>
  <c r="K247" i="15" s="1"/>
  <c r="L247" i="15" s="1"/>
  <c r="J272" i="15"/>
  <c r="K272" i="15" s="1"/>
  <c r="L272" i="15" s="1"/>
  <c r="J64" i="15"/>
  <c r="K64" i="15" s="1"/>
  <c r="L64" i="15" s="1"/>
  <c r="J71" i="15"/>
  <c r="K71" i="15" s="1"/>
  <c r="L71" i="15" s="1"/>
  <c r="J289" i="15"/>
  <c r="K289" i="15" s="1"/>
  <c r="L289" i="15" s="1"/>
  <c r="J300" i="15"/>
  <c r="K300" i="15" s="1"/>
  <c r="L300" i="15" s="1"/>
  <c r="J160" i="15"/>
  <c r="K160" i="15" s="1"/>
  <c r="L160" i="15" s="1"/>
  <c r="J215" i="15"/>
  <c r="K215" i="15" s="1"/>
  <c r="L215" i="15" s="1"/>
  <c r="J119" i="15"/>
  <c r="K119" i="15" s="1"/>
  <c r="L119" i="15" s="1"/>
  <c r="J153" i="15"/>
  <c r="K153" i="15" s="1"/>
  <c r="L153" i="15" s="1"/>
  <c r="J110" i="15"/>
  <c r="K110" i="15" s="1"/>
  <c r="L110" i="15" s="1"/>
  <c r="J169" i="15"/>
  <c r="K169" i="15" s="1"/>
  <c r="L169" i="15" s="1"/>
  <c r="J3" i="15"/>
  <c r="K3" i="15" s="1"/>
  <c r="L3" i="15" s="1"/>
  <c r="J240" i="15"/>
  <c r="K240" i="15" s="1"/>
  <c r="L240" i="15" s="1"/>
  <c r="J205" i="15"/>
  <c r="K205" i="15" s="1"/>
  <c r="L205" i="15" s="1"/>
  <c r="J201" i="15"/>
  <c r="K201" i="15" s="1"/>
  <c r="L201" i="15" s="1"/>
  <c r="J296" i="15"/>
  <c r="K296" i="15" s="1"/>
  <c r="L296" i="15" s="1"/>
  <c r="J312" i="15"/>
  <c r="K312" i="15" s="1"/>
  <c r="L312" i="15" s="1"/>
  <c r="J193" i="15"/>
  <c r="K193" i="15" s="1"/>
  <c r="L193" i="15" s="1"/>
  <c r="J149" i="15"/>
  <c r="K149" i="15" s="1"/>
  <c r="L149" i="15" s="1"/>
  <c r="J299" i="15"/>
  <c r="J118" i="15"/>
  <c r="J260" i="15"/>
  <c r="J269" i="15"/>
  <c r="K269" i="15" s="1"/>
  <c r="L269" i="15" s="1"/>
  <c r="J60" i="15"/>
  <c r="K60" i="15" s="1"/>
  <c r="L60" i="15" s="1"/>
  <c r="J209" i="15"/>
  <c r="K209" i="15" s="1"/>
  <c r="L209" i="15" s="1"/>
  <c r="J319" i="15"/>
  <c r="K319" i="15" s="1"/>
  <c r="L319" i="15" s="1"/>
  <c r="J189" i="15"/>
  <c r="K189" i="15" s="1"/>
  <c r="L189" i="15" s="1"/>
  <c r="J165" i="15"/>
  <c r="K165" i="15" s="1"/>
  <c r="L165" i="15" s="1"/>
  <c r="J318" i="15"/>
  <c r="K318" i="15" s="1"/>
  <c r="L318" i="15" s="1"/>
  <c r="J139" i="15"/>
  <c r="K139" i="15" s="1"/>
  <c r="L139" i="15" s="1"/>
  <c r="J98" i="15"/>
  <c r="K98" i="15" s="1"/>
  <c r="L98" i="15" s="1"/>
  <c r="J200" i="15"/>
  <c r="J99" i="15"/>
  <c r="K99" i="15" s="1"/>
  <c r="L99" i="15" s="1"/>
  <c r="J320" i="15"/>
  <c r="K320" i="15" s="1"/>
  <c r="L320" i="15" s="1"/>
  <c r="J170" i="15"/>
  <c r="K170" i="15" s="1"/>
  <c r="L170" i="15" s="1"/>
  <c r="J281" i="15"/>
  <c r="K281" i="15" s="1"/>
  <c r="L281" i="15" s="1"/>
  <c r="J36" i="15"/>
  <c r="K36" i="15" s="1"/>
  <c r="L36" i="15" s="1"/>
  <c r="J77" i="15"/>
  <c r="K77" i="15" s="1"/>
  <c r="L77" i="15" s="1"/>
  <c r="J242" i="15"/>
  <c r="K242" i="15" s="1"/>
  <c r="L242" i="15" s="1"/>
  <c r="J316" i="15"/>
  <c r="K316" i="15" s="1"/>
  <c r="L316" i="15" s="1"/>
  <c r="J92" i="15"/>
  <c r="K92" i="15" s="1"/>
  <c r="L92" i="15" s="1"/>
  <c r="J255" i="15"/>
  <c r="K255" i="15" s="1"/>
  <c r="L255" i="15" s="1"/>
  <c r="J22" i="15"/>
  <c r="K22" i="15" s="1"/>
  <c r="L22" i="15" s="1"/>
  <c r="J224" i="15"/>
  <c r="J42" i="15"/>
  <c r="J56" i="15"/>
  <c r="J313" i="15"/>
  <c r="K313" i="15" s="1"/>
  <c r="L313" i="15" s="1"/>
  <c r="J223" i="15"/>
  <c r="K223" i="15" s="1"/>
  <c r="L223" i="15" s="1"/>
  <c r="J297" i="15"/>
  <c r="K297" i="15" s="1"/>
  <c r="L297" i="15" s="1"/>
  <c r="J96" i="15"/>
  <c r="K96" i="15" s="1"/>
  <c r="L96" i="15" s="1"/>
  <c r="J206" i="15"/>
  <c r="K206" i="15" s="1"/>
  <c r="L206" i="15" s="1"/>
  <c r="J90" i="15"/>
  <c r="K90" i="15" s="1"/>
  <c r="L90" i="15" s="1"/>
  <c r="J51" i="15"/>
  <c r="K51" i="15" s="1"/>
  <c r="L51" i="15" s="1"/>
  <c r="J81" i="15"/>
  <c r="K81" i="15" s="1"/>
  <c r="L81" i="15" s="1"/>
  <c r="J44" i="15"/>
  <c r="K44" i="15" s="1"/>
  <c r="L44" i="15" s="1"/>
  <c r="J20" i="15"/>
  <c r="J199" i="15"/>
  <c r="J130" i="15"/>
  <c r="K130" i="15" s="1"/>
  <c r="L130" i="15" s="1"/>
  <c r="J8" i="15"/>
  <c r="K8" i="15" s="1"/>
  <c r="L8" i="15" s="1"/>
  <c r="J293" i="15"/>
  <c r="K293" i="15" s="1"/>
  <c r="L293" i="15" s="1"/>
  <c r="J305" i="15"/>
  <c r="K305" i="15" s="1"/>
  <c r="L305" i="15" s="1"/>
  <c r="J263" i="15"/>
  <c r="K263" i="15" s="1"/>
  <c r="L263" i="15" s="1"/>
  <c r="J282" i="15"/>
  <c r="K282" i="15" s="1"/>
  <c r="L282" i="15" s="1"/>
  <c r="J253" i="15"/>
  <c r="K253" i="15" s="1"/>
  <c r="L253" i="15" s="1"/>
  <c r="J244" i="15"/>
  <c r="K244" i="15" s="1"/>
  <c r="L244" i="15" s="1"/>
  <c r="J243" i="15"/>
  <c r="K243" i="15" s="1"/>
  <c r="L243" i="15" s="1"/>
  <c r="J94" i="15"/>
  <c r="K94" i="15" s="1"/>
  <c r="L94" i="15" s="1"/>
  <c r="J102" i="15"/>
  <c r="K102" i="15" s="1"/>
  <c r="L102" i="15" s="1"/>
  <c r="J204" i="15"/>
  <c r="J183" i="15"/>
  <c r="J53" i="15"/>
  <c r="K53" i="15" s="1"/>
  <c r="L53" i="15" s="1"/>
  <c r="J256" i="15"/>
  <c r="K256" i="15" s="1"/>
  <c r="L256" i="15" s="1"/>
  <c r="J280" i="15"/>
  <c r="K280" i="15" s="1"/>
  <c r="L280" i="15" s="1"/>
  <c r="J270" i="15"/>
  <c r="K270" i="15" s="1"/>
  <c r="L270" i="15" s="1"/>
  <c r="J120" i="15"/>
  <c r="K120" i="15" s="1"/>
  <c r="L120" i="15" s="1"/>
  <c r="J172" i="15"/>
  <c r="K172" i="15" s="1"/>
  <c r="L172" i="15" s="1"/>
  <c r="J80" i="15"/>
  <c r="K80" i="15" s="1"/>
  <c r="L80" i="15" s="1"/>
  <c r="J168" i="15"/>
  <c r="K168" i="15" s="1"/>
  <c r="L168" i="15" s="1"/>
  <c r="J73" i="15"/>
  <c r="K73" i="15" s="1"/>
  <c r="L73" i="15" s="1"/>
  <c r="J87" i="15"/>
  <c r="J219" i="15"/>
  <c r="J285" i="15"/>
  <c r="J65" i="15"/>
  <c r="K65" i="15" s="1"/>
  <c r="L65" i="15" s="1"/>
  <c r="J304" i="15"/>
  <c r="K304" i="15" s="1"/>
  <c r="L304" i="15" s="1"/>
  <c r="J50" i="15"/>
  <c r="K50" i="15" s="1"/>
  <c r="L50" i="15" s="1"/>
  <c r="J176" i="15"/>
  <c r="K176" i="15" s="1"/>
  <c r="L176" i="15" s="1"/>
  <c r="J235" i="15"/>
  <c r="K235" i="15" s="1"/>
  <c r="L235" i="15" s="1"/>
  <c r="J57" i="15"/>
  <c r="K57" i="15" s="1"/>
  <c r="L57" i="15" s="1"/>
  <c r="J129" i="15"/>
  <c r="K129" i="15" s="1"/>
  <c r="L129" i="15" s="1"/>
  <c r="J184" i="15"/>
  <c r="K184" i="15" s="1"/>
  <c r="L184" i="15" s="1"/>
  <c r="J70" i="15"/>
  <c r="K70" i="15" s="1"/>
  <c r="L70" i="15" s="1"/>
  <c r="J23" i="15"/>
  <c r="K23" i="15" s="1"/>
  <c r="L23" i="15" s="1"/>
  <c r="J245" i="15"/>
  <c r="K245" i="15" s="1"/>
  <c r="L245" i="15" s="1"/>
  <c r="J158" i="15"/>
  <c r="J251" i="15"/>
  <c r="K251" i="15" s="1"/>
  <c r="L251" i="15" s="1"/>
  <c r="J84" i="15"/>
  <c r="K84" i="15" s="1"/>
  <c r="L84" i="15" s="1"/>
  <c r="J93" i="15"/>
  <c r="K93" i="15" s="1"/>
  <c r="L93" i="15" s="1"/>
  <c r="J188" i="15"/>
  <c r="K188" i="15" s="1"/>
  <c r="L188" i="15" s="1"/>
  <c r="J103" i="15"/>
  <c r="K103" i="15" s="1"/>
  <c r="L103" i="15" s="1"/>
  <c r="J292" i="15"/>
  <c r="K292" i="15" s="1"/>
  <c r="L292" i="15" s="1"/>
  <c r="J207" i="15"/>
  <c r="K207" i="15" s="1"/>
  <c r="L207" i="15" s="1"/>
  <c r="J283" i="15"/>
  <c r="K283" i="15" s="1"/>
  <c r="L283" i="15" s="1"/>
  <c r="J208" i="15"/>
  <c r="K208" i="15" s="1"/>
  <c r="L208" i="15" s="1"/>
  <c r="J191" i="15"/>
  <c r="J89" i="15"/>
  <c r="J185" i="15"/>
  <c r="J159" i="15"/>
  <c r="J259" i="15"/>
  <c r="K259" i="15" s="1"/>
  <c r="L259" i="15" s="1"/>
  <c r="J315" i="15"/>
  <c r="K315" i="15" s="1"/>
  <c r="L315" i="15" s="1"/>
  <c r="J58" i="15"/>
  <c r="K58" i="15" s="1"/>
  <c r="L58" i="15" s="1"/>
  <c r="J220" i="15"/>
  <c r="K220" i="15" s="1"/>
  <c r="L220" i="15" s="1"/>
  <c r="J180" i="15"/>
  <c r="K180" i="15" s="1"/>
  <c r="L180" i="15" s="1"/>
  <c r="J67" i="15"/>
  <c r="K67" i="15" s="1"/>
  <c r="L67" i="15" s="1"/>
  <c r="J46" i="15"/>
  <c r="K46" i="15" s="1"/>
  <c r="L46" i="15" s="1"/>
  <c r="J83" i="15"/>
  <c r="K83" i="15" s="1"/>
  <c r="L83" i="15" s="1"/>
  <c r="J190" i="15"/>
  <c r="K190" i="15" s="1"/>
  <c r="L190" i="15" s="1"/>
  <c r="J150" i="15"/>
  <c r="K150" i="15" s="1"/>
  <c r="L150" i="15" s="1"/>
  <c r="J28" i="15"/>
  <c r="K28" i="15" s="1"/>
  <c r="L28" i="15" s="1"/>
  <c r="J294" i="15"/>
  <c r="K294" i="15" s="1"/>
  <c r="L294" i="15" s="1"/>
  <c r="J85" i="15"/>
  <c r="K85" i="15" s="1"/>
  <c r="L85" i="15" s="1"/>
  <c r="J108" i="15"/>
  <c r="K108" i="15" s="1"/>
  <c r="L108" i="15" s="1"/>
  <c r="J314" i="15"/>
  <c r="K314" i="15" s="1"/>
  <c r="L314" i="15" s="1"/>
  <c r="J62" i="15"/>
  <c r="K62" i="15" s="1"/>
  <c r="L62" i="15" s="1"/>
  <c r="J306" i="15"/>
  <c r="K306" i="15" s="1"/>
  <c r="L306" i="15" s="1"/>
  <c r="J17" i="15"/>
  <c r="K17" i="15" s="1"/>
  <c r="L17" i="15" s="1"/>
  <c r="J59" i="15"/>
  <c r="K59" i="15" s="1"/>
  <c r="L59" i="15" s="1"/>
  <c r="J114" i="15"/>
  <c r="K114" i="15" s="1"/>
  <c r="L114" i="15" s="1"/>
  <c r="J288" i="15"/>
  <c r="J15" i="15"/>
  <c r="J26" i="15"/>
  <c r="J146" i="15"/>
  <c r="J13" i="15"/>
  <c r="K13" i="15" s="1"/>
  <c r="L13" i="15" s="1"/>
  <c r="J100" i="15"/>
  <c r="K100" i="15" s="1"/>
  <c r="L100" i="15" s="1"/>
  <c r="J105" i="15"/>
  <c r="K105" i="15" s="1"/>
  <c r="L105" i="15" s="1"/>
  <c r="J265" i="15"/>
  <c r="K265" i="15" s="1"/>
  <c r="L265" i="15" s="1"/>
  <c r="J290" i="15"/>
  <c r="K290" i="15" s="1"/>
  <c r="L290" i="15" s="1"/>
  <c r="J155" i="15"/>
  <c r="K155" i="15" s="1"/>
  <c r="L155" i="15" s="1"/>
  <c r="J236" i="15"/>
  <c r="J182" i="15"/>
  <c r="K182" i="15" s="1"/>
  <c r="L182" i="15" s="1"/>
  <c r="J162" i="15"/>
  <c r="K162" i="15" s="1"/>
  <c r="L162" i="15" s="1"/>
  <c r="J268" i="15"/>
  <c r="K268" i="15" s="1"/>
  <c r="L268" i="15" s="1"/>
  <c r="J221" i="15"/>
  <c r="K221" i="15" s="1"/>
  <c r="L221" i="15" s="1"/>
  <c r="J195" i="15"/>
  <c r="K195" i="15" s="1"/>
  <c r="L195" i="15" s="1"/>
  <c r="J135" i="15"/>
  <c r="K135" i="15" s="1"/>
  <c r="L135" i="15" s="1"/>
  <c r="J140" i="15"/>
  <c r="K140" i="15" s="1"/>
  <c r="L140" i="15" s="1"/>
  <c r="J33" i="15"/>
  <c r="K33" i="15" s="1"/>
  <c r="L33" i="15" s="1"/>
  <c r="J161" i="15"/>
  <c r="K161" i="15" s="1"/>
  <c r="L161" i="15" s="1"/>
  <c r="J76" i="15"/>
  <c r="K76" i="15" s="1"/>
  <c r="L76" i="15" s="1"/>
  <c r="J40" i="15"/>
  <c r="K40" i="15" s="1"/>
  <c r="L40" i="15" s="1"/>
  <c r="J246" i="15"/>
  <c r="K246" i="15" s="1"/>
  <c r="L246" i="15" s="1"/>
  <c r="J30" i="15"/>
  <c r="K30" i="15" s="1"/>
  <c r="L30" i="15" s="1"/>
  <c r="J262" i="15"/>
  <c r="J45" i="15"/>
  <c r="J250" i="15"/>
  <c r="J301" i="15"/>
  <c r="J311" i="15"/>
  <c r="K311" i="15" s="1"/>
  <c r="L311" i="15" s="1"/>
  <c r="J143" i="15"/>
  <c r="K143" i="15" s="1"/>
  <c r="L143" i="15" s="1"/>
  <c r="J231" i="15"/>
  <c r="K231" i="15" s="1"/>
  <c r="L231" i="15" s="1"/>
  <c r="J27" i="15"/>
  <c r="K27" i="15" s="1"/>
  <c r="L27" i="15" s="1"/>
  <c r="J112" i="15"/>
  <c r="K112" i="15" s="1"/>
  <c r="L112" i="15" s="1"/>
  <c r="J68" i="15"/>
  <c r="K68" i="15" s="1"/>
  <c r="L68" i="15" s="1"/>
  <c r="J138" i="15"/>
  <c r="K138" i="15" s="1"/>
  <c r="L138" i="15" s="1"/>
  <c r="J216" i="15"/>
  <c r="K216" i="15" s="1"/>
  <c r="L216" i="15" s="1"/>
  <c r="J197" i="15"/>
  <c r="K197" i="15" s="1"/>
  <c r="L197" i="15" s="1"/>
  <c r="J136" i="15"/>
  <c r="K136" i="15" s="1"/>
  <c r="L136" i="15" s="1"/>
  <c r="J175" i="15"/>
  <c r="K175" i="15" s="1"/>
  <c r="L175" i="15" s="1"/>
  <c r="J212" i="15"/>
  <c r="K212" i="15" s="1"/>
  <c r="L212" i="15" s="1"/>
  <c r="J144" i="15"/>
  <c r="K144" i="15" s="1"/>
  <c r="L144" i="15" s="1"/>
  <c r="J78" i="15"/>
  <c r="K78" i="15" s="1"/>
  <c r="L78" i="15" s="1"/>
  <c r="J131" i="15"/>
  <c r="K131" i="15" s="1"/>
  <c r="L131" i="15" s="1"/>
  <c r="J254" i="15"/>
  <c r="K254" i="15" s="1"/>
  <c r="L254" i="15" s="1"/>
  <c r="J52" i="15"/>
  <c r="K52" i="15" s="1"/>
  <c r="L52" i="15" s="1"/>
  <c r="J192" i="15"/>
  <c r="K192" i="15" s="1"/>
  <c r="L192" i="15" s="1"/>
  <c r="J148" i="15"/>
  <c r="K148" i="15" s="1"/>
  <c r="L148" i="15" s="1"/>
  <c r="J230" i="15"/>
  <c r="K230" i="15" s="1"/>
  <c r="L230" i="15" s="1"/>
  <c r="J303" i="15"/>
  <c r="J238" i="15"/>
  <c r="J41" i="15"/>
  <c r="J309" i="15"/>
  <c r="J164" i="15"/>
  <c r="K164" i="15" s="1"/>
  <c r="L164" i="15" s="1"/>
  <c r="J179" i="15"/>
  <c r="K179" i="15" s="1"/>
  <c r="L179" i="15" s="1"/>
  <c r="J273" i="15"/>
  <c r="K273" i="15" s="1"/>
  <c r="L273" i="15" s="1"/>
  <c r="J203" i="15"/>
  <c r="K203" i="15" s="1"/>
  <c r="L203" i="15" s="1"/>
  <c r="J173" i="15"/>
  <c r="K173" i="15" s="1"/>
  <c r="L173" i="15" s="1"/>
  <c r="J286" i="15"/>
  <c r="K286" i="15" s="1"/>
  <c r="L286" i="15" s="1"/>
  <c r="J266" i="15"/>
  <c r="K266" i="15" s="1"/>
  <c r="L266" i="15" s="1"/>
  <c r="J178" i="15"/>
  <c r="K178" i="15" s="1"/>
  <c r="L178" i="15" s="1"/>
  <c r="J222" i="15"/>
  <c r="J211" i="15"/>
  <c r="K211" i="15" s="1"/>
  <c r="L211" i="15" s="1"/>
  <c r="J264" i="15"/>
  <c r="K264" i="15" s="1"/>
  <c r="L264" i="15" s="1"/>
  <c r="J29" i="15"/>
  <c r="K29" i="15" s="1"/>
  <c r="L29" i="15" s="1"/>
  <c r="J249" i="15"/>
  <c r="K249" i="15" s="1"/>
  <c r="L249" i="15" s="1"/>
  <c r="J134" i="15"/>
  <c r="K134" i="15" s="1"/>
  <c r="L134" i="15" s="1"/>
  <c r="J11" i="15"/>
  <c r="K11" i="15" s="1"/>
  <c r="L11" i="15" s="1"/>
  <c r="J117" i="15"/>
  <c r="K117" i="15" s="1"/>
  <c r="L117" i="15" s="1"/>
  <c r="J234" i="15"/>
  <c r="K234" i="15" s="1"/>
  <c r="L234" i="15" s="1"/>
  <c r="J115" i="15"/>
  <c r="K115" i="15" s="1"/>
  <c r="L115" i="15" s="1"/>
  <c r="J276" i="15"/>
  <c r="K276" i="15" s="1"/>
  <c r="L276" i="15" s="1"/>
  <c r="J38" i="15"/>
  <c r="K38" i="15" s="1"/>
  <c r="L38" i="15" s="1"/>
  <c r="J252" i="15"/>
  <c r="K252" i="15" s="1"/>
  <c r="L252" i="15" s="1"/>
  <c r="J228" i="15"/>
  <c r="J101" i="15"/>
  <c r="J34" i="15"/>
  <c r="J54" i="15"/>
  <c r="K54" i="15" s="1"/>
  <c r="L54" i="15" s="1"/>
  <c r="J258" i="15"/>
  <c r="K258" i="15" s="1"/>
  <c r="L258" i="15" s="1"/>
  <c r="J88" i="15"/>
  <c r="K88" i="15" s="1"/>
  <c r="L88" i="15" s="1"/>
  <c r="J145" i="15"/>
  <c r="K145" i="15" s="1"/>
  <c r="L145" i="15" s="1"/>
  <c r="J233" i="15"/>
  <c r="K233" i="15" s="1"/>
  <c r="L233" i="15" s="1"/>
  <c r="J248" i="15"/>
  <c r="K248" i="15" s="1"/>
  <c r="L248" i="15" s="1"/>
  <c r="J111" i="15"/>
  <c r="K111" i="15" s="1"/>
  <c r="L111" i="15" s="1"/>
  <c r="J125" i="15"/>
  <c r="K125" i="15" s="1"/>
  <c r="L125" i="15" s="1"/>
  <c r="J104" i="15"/>
  <c r="J307" i="15"/>
  <c r="J218" i="15"/>
  <c r="K218" i="15" s="1"/>
  <c r="L218" i="15" s="1"/>
  <c r="J72" i="15"/>
  <c r="K72" i="15" s="1"/>
  <c r="L72" i="15" s="1"/>
  <c r="J194" i="15"/>
  <c r="K194" i="15" s="1"/>
  <c r="L194" i="15" s="1"/>
  <c r="J133" i="15"/>
  <c r="K133" i="15" s="1"/>
  <c r="L133" i="15" s="1"/>
  <c r="J163" i="15"/>
  <c r="K163" i="15" s="1"/>
  <c r="L163" i="15" s="1"/>
  <c r="J196" i="15"/>
  <c r="K196" i="15" s="1"/>
  <c r="L196" i="15" s="1"/>
  <c r="J321" i="15"/>
  <c r="K321" i="15" s="1"/>
  <c r="L321" i="15" s="1"/>
  <c r="J123" i="15"/>
  <c r="K123" i="15" s="1"/>
  <c r="L123" i="15" s="1"/>
  <c r="J25" i="15"/>
  <c r="K25" i="15" s="1"/>
  <c r="L25" i="15" s="1"/>
  <c r="J79" i="15"/>
  <c r="K79" i="15" s="1"/>
  <c r="L79" i="15" s="1"/>
  <c r="J82" i="15"/>
  <c r="K82" i="15" s="1"/>
  <c r="L82" i="15" s="1"/>
  <c r="J121" i="15"/>
  <c r="K121" i="15" s="1"/>
  <c r="L121" i="15" s="1"/>
  <c r="J298" i="15"/>
  <c r="J302" i="15"/>
  <c r="K302" i="15" s="1"/>
  <c r="L302" i="15" s="1"/>
  <c r="J10" i="15"/>
  <c r="K10" i="15" s="1"/>
  <c r="L10" i="15" s="1"/>
  <c r="J279" i="15"/>
  <c r="K279" i="15" s="1"/>
  <c r="L279" i="15" s="1"/>
  <c r="J109" i="15"/>
  <c r="K109" i="15" s="1"/>
  <c r="L109" i="15" s="1"/>
  <c r="J127" i="15"/>
  <c r="K127" i="15" s="1"/>
  <c r="L127" i="15" s="1"/>
  <c r="J32" i="15"/>
  <c r="K32" i="15" s="1"/>
  <c r="L32" i="15" s="1"/>
  <c r="J126" i="15"/>
  <c r="K126" i="15" s="1"/>
  <c r="L126" i="15" s="1"/>
  <c r="J226" i="15"/>
  <c r="K226" i="15" s="1"/>
  <c r="L226" i="15" s="1"/>
  <c r="J213" i="15"/>
  <c r="K213" i="15" s="1"/>
  <c r="L213" i="15" s="1"/>
  <c r="J142" i="15"/>
  <c r="J287" i="15"/>
  <c r="J284" i="15"/>
  <c r="J74" i="15"/>
  <c r="K74" i="15" s="1"/>
  <c r="L74" i="15" s="1"/>
  <c r="J167" i="15"/>
  <c r="K167" i="15" s="1"/>
  <c r="L167" i="15" s="1"/>
  <c r="J152" i="15"/>
  <c r="K152" i="15" s="1"/>
  <c r="L152" i="15" s="1"/>
  <c r="J49" i="15"/>
  <c r="K49" i="15" s="1"/>
  <c r="L49" i="15" s="1"/>
  <c r="J18" i="15"/>
  <c r="K18" i="15" s="1"/>
  <c r="L18" i="15" s="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2" i="5"/>
</calcChain>
</file>

<file path=xl/sharedStrings.xml><?xml version="1.0" encoding="utf-8"?>
<sst xmlns="http://schemas.openxmlformats.org/spreadsheetml/2006/main" count="3498" uniqueCount="180">
  <si>
    <t>store_id</t>
  </si>
  <si>
    <t>month</t>
  </si>
  <si>
    <t>region</t>
  </si>
  <si>
    <t>store_type</t>
  </si>
  <si>
    <t>marketing_spend</t>
  </si>
  <si>
    <t>footfall</t>
  </si>
  <si>
    <t>avg_discount_pct</t>
  </si>
  <si>
    <t>staff_count</t>
  </si>
  <si>
    <t>inventory_availability_pct</t>
  </si>
  <si>
    <t>competitor_distance_km</t>
  </si>
  <si>
    <t>holiday_flag</t>
  </si>
  <si>
    <t>customer_rating</t>
  </si>
  <si>
    <t>monthly_sales</t>
  </si>
  <si>
    <t>monthly_profit</t>
  </si>
  <si>
    <t>STR-1001</t>
  </si>
  <si>
    <t>East</t>
  </si>
  <si>
    <t>Residential</t>
  </si>
  <si>
    <t>STR-1002</t>
  </si>
  <si>
    <t>High Street</t>
  </si>
  <si>
    <t>STR-1003</t>
  </si>
  <si>
    <t>North</t>
  </si>
  <si>
    <t>Airport</t>
  </si>
  <si>
    <t>STR-1004</t>
  </si>
  <si>
    <t>STR-1005</t>
  </si>
  <si>
    <t>South</t>
  </si>
  <si>
    <t>STR-1006</t>
  </si>
  <si>
    <t>STR-1007</t>
  </si>
  <si>
    <t>West</t>
  </si>
  <si>
    <t>Mall</t>
  </si>
  <si>
    <t>STR-1008</t>
  </si>
  <si>
    <t>STR-1009</t>
  </si>
  <si>
    <t>STR-1010</t>
  </si>
  <si>
    <t>STR-1011</t>
  </si>
  <si>
    <t>STR-1012</t>
  </si>
  <si>
    <t>STR-1013</t>
  </si>
  <si>
    <t>STR-1014</t>
  </si>
  <si>
    <t>STR-1015</t>
  </si>
  <si>
    <t>STR-1016</t>
  </si>
  <si>
    <t>STR-1017</t>
  </si>
  <si>
    <t>STR-1018</t>
  </si>
  <si>
    <t>STR-1019</t>
  </si>
  <si>
    <t>STR-1020</t>
  </si>
  <si>
    <t>STR-1021</t>
  </si>
  <si>
    <t>STR-1022</t>
  </si>
  <si>
    <t>STR-1023</t>
  </si>
  <si>
    <t>STR-1024</t>
  </si>
  <si>
    <t>STR-1025</t>
  </si>
  <si>
    <t>STR-1026</t>
  </si>
  <si>
    <t>STR-1027</t>
  </si>
  <si>
    <t>STR-1028</t>
  </si>
  <si>
    <t>STR-1029</t>
  </si>
  <si>
    <t>STR-1030</t>
  </si>
  <si>
    <t>STR-1031</t>
  </si>
  <si>
    <t>STR-1032</t>
  </si>
  <si>
    <t>STR-1033</t>
  </si>
  <si>
    <t>STR-1034</t>
  </si>
  <si>
    <t>STR-1035</t>
  </si>
  <si>
    <t>STR-1036</t>
  </si>
  <si>
    <t>STR-1037</t>
  </si>
  <si>
    <t>STR-1038</t>
  </si>
  <si>
    <t>STR-1039</t>
  </si>
  <si>
    <t>STR-1040</t>
  </si>
  <si>
    <t>STR-1041</t>
  </si>
  <si>
    <t>STR-1042</t>
  </si>
  <si>
    <t>STR-1043</t>
  </si>
  <si>
    <t>STR-1044</t>
  </si>
  <si>
    <t>STR-1045</t>
  </si>
  <si>
    <t>STR-1046</t>
  </si>
  <si>
    <t>STR-1047</t>
  </si>
  <si>
    <t>STR-1048</t>
  </si>
  <si>
    <t>STR-1049</t>
  </si>
  <si>
    <t>STR-1050</t>
  </si>
  <si>
    <t>STR-1051</t>
  </si>
  <si>
    <t>STR-1052</t>
  </si>
  <si>
    <t>STR-1053</t>
  </si>
  <si>
    <t>STR-1054</t>
  </si>
  <si>
    <t>STR-1055</t>
  </si>
  <si>
    <t>STR-1056</t>
  </si>
  <si>
    <t>STR-1057</t>
  </si>
  <si>
    <t>STR-1058</t>
  </si>
  <si>
    <t>STR-1059</t>
  </si>
  <si>
    <t>STR-1060</t>
  </si>
  <si>
    <t>STR-1061</t>
  </si>
  <si>
    <t>STR-1062</t>
  </si>
  <si>
    <t>STR-1063</t>
  </si>
  <si>
    <t>STR-1064</t>
  </si>
  <si>
    <t>STR-1065</t>
  </si>
  <si>
    <t>STR-1066</t>
  </si>
  <si>
    <t>STR-1067</t>
  </si>
  <si>
    <t>STR-1068</t>
  </si>
  <si>
    <t>STR-1069</t>
  </si>
  <si>
    <t>STR-1070</t>
  </si>
  <si>
    <t>STR-1071</t>
  </si>
  <si>
    <t>STR-1072</t>
  </si>
  <si>
    <t>STR-1073</t>
  </si>
  <si>
    <t>STR-1074</t>
  </si>
  <si>
    <t>STR-1075</t>
  </si>
  <si>
    <t>STR-1076</t>
  </si>
  <si>
    <t>STR-1077</t>
  </si>
  <si>
    <t>STR-1078</t>
  </si>
  <si>
    <t>STR-1079</t>
  </si>
  <si>
    <t>STR-1080</t>
  </si>
  <si>
    <t>Region_East</t>
  </si>
  <si>
    <t>Region_South</t>
  </si>
  <si>
    <t>Region_West</t>
  </si>
  <si>
    <t>Store_Airport</t>
  </si>
  <si>
    <t>Store_Mall</t>
  </si>
  <si>
    <t>Store_High_Street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</si>
  <si>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</si>
  <si>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</si>
  <si>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</si>
  <si>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</si>
  <si>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</si>
  <si>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</si>
  <si>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</si>
  <si>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</si>
  <si>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</si>
  <si>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</si>
  <si>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</si>
  <si>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</si>
  <si>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</si>
  <si>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</si>
  <si>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</si>
  <si>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</si>
  <si>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</si>
  <si>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</si>
  <si>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</si>
  <si>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</si>
  <si>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</si>
  <si>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</si>
  <si>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</si>
  <si>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</si>
  <si>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Regression equation</t>
  </si>
  <si>
    <t>Monthly_sales  =  560777.345 + 2.1296 X Marketing_spend</t>
  </si>
  <si>
    <t>Monthly_sales  =  446410.58 + 35.678 X footfall</t>
  </si>
  <si>
    <t>The low p-value (&lt; 0.05) indicates that marketing spend is a statistically significant predictor of monthly sales.</t>
  </si>
  <si>
    <t>For every one-unit increase in marketing spend, monthly sales increase by approximately 2.1296 units on average, assuming a linear relationship.</t>
  </si>
  <si>
    <t>Each additional customer visiting the store is associated with an average increase of 35.678 units in monthly sales.</t>
  </si>
  <si>
    <t>R-squared</t>
  </si>
  <si>
    <t>Coefficient</t>
  </si>
  <si>
    <t>Business interpretation</t>
  </si>
  <si>
    <t>Whether the variable appears useful</t>
  </si>
  <si>
    <t xml:space="preserve">Sr. No. </t>
  </si>
  <si>
    <t>Parameters</t>
  </si>
  <si>
    <t>Metric</t>
  </si>
  <si>
    <t>Value</t>
  </si>
  <si>
    <t>Interpretation</t>
  </si>
  <si>
    <t>Strong positive relationship between predicted and actual monthly sales.</t>
  </si>
  <si>
    <t>R²</t>
  </si>
  <si>
    <r>
      <t xml:space="preserve">The model explains </t>
    </r>
    <r>
      <rPr>
        <b/>
        <sz val="11"/>
        <rFont val="Carlito"/>
      </rPr>
      <t>79.98%</t>
    </r>
    <r>
      <rPr>
        <sz val="11"/>
        <rFont val="Carlito"/>
      </rPr>
      <t xml:space="preserve"> of the variation in monthly sales.</t>
    </r>
  </si>
  <si>
    <t>Adjusted R²</t>
  </si>
  <si>
    <r>
      <t xml:space="preserve">After accounting for the number of predictors, the model still explains </t>
    </r>
    <r>
      <rPr>
        <b/>
        <sz val="11"/>
        <rFont val="Carlito"/>
      </rPr>
      <t>79.53%</t>
    </r>
    <r>
      <rPr>
        <sz val="11"/>
        <rFont val="Carlito"/>
      </rPr>
      <t xml:space="preserve"> of the variation, indicating a strong model fit.</t>
    </r>
  </si>
  <si>
    <t>5.59 × 10⁻¹⁰⁵</t>
  </si>
  <si>
    <t>The overall regression model is highly statistically significant.</t>
  </si>
  <si>
    <t>Multiple Regression Summary</t>
  </si>
  <si>
    <t>The intercept represents the estimated monthly sales when all numerical predictors are zero and the store belongs to the reference store type. While this scenario is not practically meaningful, the intercept provides the baseline for the regression equation.</t>
  </si>
  <si>
    <t>2.96 × 10⁻⁹⁰</t>
  </si>
  <si>
    <t>Model Performance</t>
  </si>
  <si>
    <t>Variable</t>
  </si>
  <si>
    <t>Marketing Spend</t>
  </si>
  <si>
    <t>Footfall</t>
  </si>
  <si>
    <t>Average Discount %</t>
  </si>
  <si>
    <t>Higher average discounts are associated with lower monthly sales after controlling for other variables. This may indicate that heavy discounting is used during weaker sales periods or reduces overall revenue.</t>
  </si>
  <si>
    <t>Staff Count</t>
  </si>
  <si>
    <t>Although the coefficient is positive, the relationship is not statistically significant at the 5% significance level.</t>
  </si>
  <si>
    <t>Yes</t>
  </si>
  <si>
    <t>No</t>
  </si>
  <si>
    <t>Every additional unit of marketing spend is associated with an increase of approximately 1.12 units in monthly sales, holding other variables constant.</t>
  </si>
  <si>
    <t>Each additional customer visiting the store is associated with an increase of about 29.11 units in monthly sales. This is one of the strongest drivers of sales.</t>
  </si>
  <si>
    <t>Significant? (&lt;0.05)</t>
  </si>
  <si>
    <t>High Street stores generate significantly higher monthly sales than the Residential store type.</t>
  </si>
  <si>
    <t>Airport stores generate significantly higher monthly sales than the Residential store type.</t>
  </si>
  <si>
    <t>Mall stores generate significantly higher monthly sales than the Residential store type.</t>
  </si>
  <si>
    <t>Direction</t>
  </si>
  <si>
    <t>Positive</t>
  </si>
  <si>
    <t>Negative</t>
  </si>
  <si>
    <t>Direction of relationship</t>
  </si>
  <si>
    <t>Predictive sales</t>
  </si>
  <si>
    <t>Top 5 Largest Positive Residuals</t>
  </si>
  <si>
    <t>Top 5 Largest Negative Residuals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</si>
</sst>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
    <numFmt numFmtId="165" formatCode="0.000"/>
  </numFmts>
  <fonts count="10">
    <font>
      <sz val="11"/>
      <name val="Carlito"/>
    </font>
    <font>
      <b/>
      <sz val="11"/>
      <color rgb="FFFFFFFF"/>
      <name val="Carlito"/>
    </font>
    <font>
      <i/>
      <sz val="11"/>
      <name val="Carlito"/>
    </font>
    <font>
      <sz val="11"/>
      <name val="Calibri"/>
      <family val="2"/>
      <scheme val="minor"/>
    </font>
    <font>
      <sz val="12"/>
      <color rgb="FF415173"/>
      <name val="Calibri"/>
      <family val="2"/>
      <scheme val="minor"/>
    </font>
    <font>
      <sz val="12"/>
      <name val="Calibri"/>
      <family val="2"/>
      <scheme val="minor"/>
    </font>
    <font>
      <b/>
      <sz val="11"/>
      <name val="Carlito"/>
    </font>
    <font>
      <b/>
      <sz val="11"/>
      <name val="Calibri"/>
      <family val="2"/>
      <scheme val="minor"/>
    </font>
    <font>
      <b/>
      <sz val="12"/>
      <name val="Calibri"/>
      <family val="2"/>
      <scheme val="minor"/>
    </font>
    <font>
      <sz val="11"/>
      <name val="Carlito"/>
    </font>
  </fonts>
  <fills count="4">
    <fill>
      <patternFill patternType="none"/>
    </fill>
    <fill>
      <patternFill patternType="gray125"/>
    </fill>
    <fill>
      <patternFill patternType="solid">
        <fgColor rgb="FF365F91"/>
      </patternFill>
    </fill>
    <fill>
      <patternFill patternType="solid">
        <fgColor rgb="FFFFFF00"/>
        <bgColor indexed="64"/>
      </patternFill>
    </fill>
  </fills>
  <borders count="10">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9" fillId="0" borderId="1"/>
  </cellStyleXfs>
  <cellXfs count="49">
    <xf numFmtId="0" fontId="0" fillId="0" borderId="0" xfId="0"/>
    <xf numFmtId="0" fontId="0" fillId="0" borderId="2" xfId="0" applyBorder="1" applyAlignment="1">
      <alignment horizontal="center"/>
    </xf>
    <xf numFmtId="0" fontId="1" fillId="2" borderId="2" xfId="0" applyFont="1" applyFill="1" applyBorder="1" applyAlignment="1">
      <alignment horizontal="center" vertical="center"/>
    </xf>
    <xf numFmtId="0" fontId="0" fillId="0" borderId="2" xfId="0" applyBorder="1" applyAlignment="1">
      <alignment horizontal="center" vertical="center"/>
    </xf>
    <xf numFmtId="164" fontId="0" fillId="0" borderId="2" xfId="0" applyNumberFormat="1" applyBorder="1" applyAlignment="1">
      <alignment horizontal="center" vertical="center"/>
    </xf>
    <xf numFmtId="0" fontId="0" fillId="3" borderId="2" xfId="0"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xf numFmtId="0" fontId="0" fillId="0" borderId="4" xfId="0" applyBorder="1"/>
    <xf numFmtId="0" fontId="2" fillId="0" borderId="6" xfId="0" applyFont="1" applyBorder="1" applyAlignment="1">
      <alignment horizontal="center"/>
    </xf>
    <xf numFmtId="0" fontId="2" fillId="0" borderId="6" xfId="0" applyFont="1" applyBorder="1" applyAlignment="1">
      <alignment horizontal="centerContinuous"/>
    </xf>
    <xf numFmtId="11" fontId="0" fillId="0" borderId="4" xfId="0" applyNumberFormat="1" applyBorder="1"/>
    <xf numFmtId="0" fontId="5"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center"/>
    </xf>
    <xf numFmtId="0" fontId="5" fillId="0" borderId="2" xfId="0" applyFont="1" applyBorder="1" applyAlignment="1">
      <alignment horizontal="center" vertical="center"/>
    </xf>
    <xf numFmtId="11" fontId="0" fillId="0" borderId="2" xfId="0" applyNumberFormat="1" applyBorder="1" applyAlignment="1">
      <alignment horizontal="center" vertical="center"/>
    </xf>
    <xf numFmtId="11" fontId="0" fillId="0" borderId="2" xfId="0" applyNumberFormat="1" applyBorder="1" applyAlignment="1">
      <alignment horizontal="center"/>
    </xf>
    <xf numFmtId="0" fontId="0" fillId="0" borderId="2" xfId="0" applyBorder="1" applyAlignment="1">
      <alignment horizontal="center" vertical="center" wrapText="1"/>
    </xf>
    <xf numFmtId="165" fontId="0" fillId="0" borderId="2" xfId="0" applyNumberFormat="1" applyBorder="1" applyAlignment="1">
      <alignment horizontal="center" vertical="center"/>
    </xf>
    <xf numFmtId="165" fontId="0" fillId="0" borderId="2" xfId="0" applyNumberFormat="1" applyBorder="1" applyAlignment="1">
      <alignment horizont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center"/>
    </xf>
    <xf numFmtId="0" fontId="7" fillId="0" borderId="2" xfId="0" applyFont="1" applyBorder="1" applyAlignment="1">
      <alignment horizontal="center" vertical="center" wrapText="1"/>
    </xf>
    <xf numFmtId="0" fontId="3" fillId="0" borderId="2" xfId="0" applyFont="1" applyBorder="1" applyAlignment="1">
      <alignment horizontal="center" vertical="center" wrapText="1"/>
    </xf>
    <xf numFmtId="0" fontId="7" fillId="0" borderId="2" xfId="0" applyFont="1" applyBorder="1" applyAlignment="1">
      <alignment horizontal="center" vertical="center"/>
    </xf>
    <xf numFmtId="0" fontId="3" fillId="0" borderId="2" xfId="0" applyFont="1" applyBorder="1" applyAlignment="1">
      <alignment horizontal="center" vertical="center"/>
    </xf>
    <xf numFmtId="11" fontId="3" fillId="0" borderId="2" xfId="0" applyNumberFormat="1" applyFont="1" applyBorder="1" applyAlignment="1">
      <alignment horizontal="center" vertical="center" wrapText="1"/>
    </xf>
    <xf numFmtId="4" fontId="3" fillId="0" borderId="2" xfId="0" applyNumberFormat="1" applyFont="1" applyBorder="1" applyAlignment="1">
      <alignment horizontal="center" vertical="center" wrapText="1"/>
    </xf>
    <xf numFmtId="0" fontId="3" fillId="0" borderId="2" xfId="0" applyFont="1" applyBorder="1" applyAlignment="1">
      <alignment horizontal="center"/>
    </xf>
    <xf numFmtId="4" fontId="3" fillId="0" borderId="2" xfId="0" applyNumberFormat="1" applyFont="1" applyBorder="1" applyAlignment="1">
      <alignment horizontal="center"/>
    </xf>
    <xf numFmtId="0" fontId="1" fillId="2" borderId="2" xfId="1" applyFont="1" applyFill="1" applyBorder="1" applyAlignment="1">
      <alignment horizontal="center" vertical="center"/>
    </xf>
    <xf numFmtId="0" fontId="9" fillId="0" borderId="1" xfId="1"/>
    <xf numFmtId="0" fontId="9" fillId="0" borderId="2" xfId="1" applyBorder="1" applyAlignment="1">
      <alignment horizontal="center"/>
    </xf>
    <xf numFmtId="164" fontId="9" fillId="0" borderId="2" xfId="1" applyNumberFormat="1" applyBorder="1" applyAlignment="1">
      <alignment horizontal="center"/>
    </xf>
    <xf numFmtId="0" fontId="1" fillId="2" borderId="9" xfId="0" applyFont="1" applyFill="1"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6" fillId="0" borderId="2" xfId="0" applyFont="1" applyBorder="1" applyAlignment="1">
      <alignment horizontal="center"/>
    </xf>
    <xf numFmtId="0" fontId="5" fillId="0" borderId="2" xfId="0" applyFont="1" applyBorder="1" applyAlignment="1">
      <alignment horizontal="center" wrapText="1"/>
    </xf>
    <xf numFmtId="0" fontId="0" fillId="0" borderId="1" xfId="0" applyBorder="1" applyAlignment="1">
      <alignment horizontal="center"/>
    </xf>
    <xf numFmtId="0" fontId="7" fillId="0" borderId="2" xfId="0" applyFont="1" applyBorder="1" applyAlignment="1">
      <alignment horizontal="center" vertical="center" wrapText="1"/>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8" xfId="0" applyFont="1" applyBorder="1" applyAlignment="1">
      <alignment horizontal="center" vertical="center"/>
    </xf>
  </cellXfs>
  <cellStyles count="2">
    <cellStyle name="Normal" xfId="0" builtinId="0"/>
    <cellStyle name="Normal 2" xfId="1" xr:uid="{04542073-EF97-4C1D-A629-995A060092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BE47-A295-4E2C-8DB4-959004BEF4E0}">
  <dimension ref="A1:N321"/>
  <sheetViews>
    <sheetView tabSelected="1" workbookViewId="0"/>
  </sheetViews>
  <sheetFormatPr defaultRowHeight="13.8"/>
  <cols>
    <col min="1" max="1" width="9.19921875" style="34" bestFit="1" customWidth="1"/>
    <col min="2" max="2" width="7.5" style="34" bestFit="1" customWidth="1"/>
    <col min="3" max="3" width="6.5" style="34" bestFit="1" customWidth="1"/>
    <col min="4" max="4" width="10.296875" style="34" bestFit="1" customWidth="1"/>
    <col min="5" max="5" width="16.19921875" style="34" bestFit="1" customWidth="1"/>
    <col min="6" max="6" width="6.8984375" style="34" bestFit="1" customWidth="1"/>
    <col min="7" max="7" width="16.3984375" style="34" bestFit="1" customWidth="1"/>
    <col min="8" max="8" width="10.59765625" style="34" bestFit="1" customWidth="1"/>
    <col min="9" max="9" width="23.69921875" style="34" bestFit="1" customWidth="1"/>
    <col min="10" max="10" width="22.796875" style="34" bestFit="1" customWidth="1"/>
    <col min="11" max="11" width="11.5" style="34" bestFit="1" customWidth="1"/>
    <col min="12" max="12" width="15.296875" style="34" bestFit="1" customWidth="1"/>
    <col min="13" max="14" width="13.796875" style="34" bestFit="1" customWidth="1"/>
    <col min="15" max="16384" width="8.796875" style="34"/>
  </cols>
  <sheetData>
    <row r="1" spans="1:14" ht="31.2" customHeight="1">
      <c r="A1" s="33" t="s">
        <v>0</v>
      </c>
      <c r="B1" s="33" t="s">
        <v>1</v>
      </c>
      <c r="C1" s="33" t="s">
        <v>2</v>
      </c>
      <c r="D1" s="33" t="s">
        <v>3</v>
      </c>
      <c r="E1" s="33" t="s">
        <v>4</v>
      </c>
      <c r="F1" s="33" t="s">
        <v>5</v>
      </c>
      <c r="G1" s="33" t="s">
        <v>6</v>
      </c>
      <c r="H1" s="33" t="s">
        <v>7</v>
      </c>
      <c r="I1" s="33" t="s">
        <v>8</v>
      </c>
      <c r="J1" s="33" t="s">
        <v>9</v>
      </c>
      <c r="K1" s="33" t="s">
        <v>10</v>
      </c>
      <c r="L1" s="33" t="s">
        <v>11</v>
      </c>
      <c r="M1" s="33" t="s">
        <v>12</v>
      </c>
      <c r="N1" s="33" t="s">
        <v>13</v>
      </c>
    </row>
    <row r="2" spans="1:14">
      <c r="A2" s="35" t="s">
        <v>14</v>
      </c>
      <c r="B2" s="36">
        <v>45658</v>
      </c>
      <c r="C2" s="35" t="s">
        <v>15</v>
      </c>
      <c r="D2" s="35" t="s">
        <v>16</v>
      </c>
      <c r="E2" s="35">
        <v>70389.11</v>
      </c>
      <c r="F2" s="35">
        <v>8302</v>
      </c>
      <c r="G2" s="35">
        <v>4.2000000000000003E-2</v>
      </c>
      <c r="H2" s="35">
        <v>17</v>
      </c>
      <c r="I2" s="35">
        <v>75</v>
      </c>
      <c r="J2" s="35">
        <v>5.28</v>
      </c>
      <c r="K2" s="35">
        <v>1</v>
      </c>
      <c r="L2" s="35">
        <v>3.1</v>
      </c>
      <c r="M2" s="35">
        <v>658832.62</v>
      </c>
      <c r="N2" s="35">
        <v>84349.93</v>
      </c>
    </row>
    <row r="3" spans="1:14">
      <c r="A3" s="35" t="s">
        <v>14</v>
      </c>
      <c r="B3" s="36">
        <v>45689</v>
      </c>
      <c r="C3" s="35" t="s">
        <v>15</v>
      </c>
      <c r="D3" s="35" t="s">
        <v>16</v>
      </c>
      <c r="E3" s="35">
        <v>43827.89</v>
      </c>
      <c r="F3" s="35">
        <v>8487</v>
      </c>
      <c r="G3" s="35">
        <v>0.16800000000000001</v>
      </c>
      <c r="H3" s="35">
        <v>23</v>
      </c>
      <c r="I3" s="35">
        <v>84.4</v>
      </c>
      <c r="J3" s="35">
        <v>4.3099999999999996</v>
      </c>
      <c r="K3" s="35">
        <v>0</v>
      </c>
      <c r="L3" s="35">
        <v>2.8</v>
      </c>
      <c r="M3" s="35">
        <v>634436</v>
      </c>
      <c r="N3" s="35">
        <v>106130.54</v>
      </c>
    </row>
    <row r="4" spans="1:14">
      <c r="A4" s="35" t="s">
        <v>14</v>
      </c>
      <c r="B4" s="36">
        <v>45717</v>
      </c>
      <c r="C4" s="35" t="s">
        <v>15</v>
      </c>
      <c r="D4" s="35" t="s">
        <v>16</v>
      </c>
      <c r="E4" s="35">
        <v>59921.75</v>
      </c>
      <c r="F4" s="35">
        <v>9113</v>
      </c>
      <c r="G4" s="35">
        <v>0.13300000000000001</v>
      </c>
      <c r="H4" s="35">
        <v>20</v>
      </c>
      <c r="I4" s="35">
        <v>88</v>
      </c>
      <c r="J4" s="35">
        <v>12</v>
      </c>
      <c r="K4" s="35">
        <v>0</v>
      </c>
      <c r="L4" s="35">
        <v>3.2</v>
      </c>
      <c r="M4" s="35">
        <v>678722.06</v>
      </c>
      <c r="N4" s="35">
        <v>101883.86</v>
      </c>
    </row>
    <row r="5" spans="1:14">
      <c r="A5" s="35" t="s">
        <v>14</v>
      </c>
      <c r="B5" s="36">
        <v>45748</v>
      </c>
      <c r="C5" s="35" t="s">
        <v>15</v>
      </c>
      <c r="D5" s="35" t="s">
        <v>16</v>
      </c>
      <c r="E5" s="35">
        <v>56856.63</v>
      </c>
      <c r="F5" s="35">
        <v>9431</v>
      </c>
      <c r="G5" s="35">
        <v>0.14199999999999999</v>
      </c>
      <c r="H5" s="35">
        <v>23</v>
      </c>
      <c r="I5" s="35">
        <v>86.9</v>
      </c>
      <c r="J5" s="35">
        <v>4.97</v>
      </c>
      <c r="K5" s="35">
        <v>0</v>
      </c>
      <c r="L5" s="35">
        <v>3.4</v>
      </c>
      <c r="M5" s="35">
        <v>658920.30000000005</v>
      </c>
      <c r="N5" s="35">
        <v>97910.37</v>
      </c>
    </row>
    <row r="6" spans="1:14">
      <c r="A6" s="35" t="s">
        <v>17</v>
      </c>
      <c r="B6" s="36">
        <v>45658</v>
      </c>
      <c r="C6" s="35" t="s">
        <v>15</v>
      </c>
      <c r="D6" s="35" t="s">
        <v>18</v>
      </c>
      <c r="E6" s="35">
        <v>48412.639999999999</v>
      </c>
      <c r="F6" s="35">
        <v>9545</v>
      </c>
      <c r="G6" s="35">
        <v>0.23100000000000001</v>
      </c>
      <c r="H6" s="35">
        <v>21</v>
      </c>
      <c r="I6" s="35">
        <v>97.6</v>
      </c>
      <c r="J6" s="35">
        <v>6.94</v>
      </c>
      <c r="K6" s="35">
        <v>1</v>
      </c>
      <c r="L6" s="35">
        <v>4.2</v>
      </c>
      <c r="M6" s="35">
        <v>741341.44</v>
      </c>
      <c r="N6" s="35">
        <v>119208.17</v>
      </c>
    </row>
    <row r="7" spans="1:14">
      <c r="A7" s="35" t="s">
        <v>17</v>
      </c>
      <c r="B7" s="36">
        <v>45689</v>
      </c>
      <c r="C7" s="35" t="s">
        <v>15</v>
      </c>
      <c r="D7" s="35" t="s">
        <v>18</v>
      </c>
      <c r="E7" s="35">
        <v>64811.21</v>
      </c>
      <c r="F7" s="35">
        <v>9792</v>
      </c>
      <c r="G7" s="35">
        <v>0.112</v>
      </c>
      <c r="H7" s="35">
        <v>20</v>
      </c>
      <c r="I7" s="35">
        <v>84.2</v>
      </c>
      <c r="J7" s="35">
        <v>2.88</v>
      </c>
      <c r="K7" s="35">
        <v>0</v>
      </c>
      <c r="L7" s="35">
        <v>4.2</v>
      </c>
      <c r="M7" s="35">
        <v>761835.34</v>
      </c>
      <c r="N7" s="35">
        <v>149602.23000000001</v>
      </c>
    </row>
    <row r="8" spans="1:14">
      <c r="A8" s="35" t="s">
        <v>17</v>
      </c>
      <c r="B8" s="36">
        <v>45717</v>
      </c>
      <c r="C8" s="35" t="s">
        <v>15</v>
      </c>
      <c r="D8" s="35" t="s">
        <v>18</v>
      </c>
      <c r="E8" s="35">
        <v>46213.45</v>
      </c>
      <c r="F8" s="35">
        <v>10616</v>
      </c>
      <c r="G8" s="35">
        <v>0.122</v>
      </c>
      <c r="H8" s="35">
        <v>22</v>
      </c>
      <c r="I8" s="35">
        <v>85.2</v>
      </c>
      <c r="J8" s="35">
        <v>0.2</v>
      </c>
      <c r="K8" s="35">
        <v>1</v>
      </c>
      <c r="L8" s="35">
        <v>4.0999999999999996</v>
      </c>
      <c r="M8" s="35">
        <v>806615.54</v>
      </c>
      <c r="N8" s="35">
        <v>131364.62</v>
      </c>
    </row>
    <row r="9" spans="1:14">
      <c r="A9" s="35" t="s">
        <v>17</v>
      </c>
      <c r="B9" s="36">
        <v>45748</v>
      </c>
      <c r="C9" s="35" t="s">
        <v>15</v>
      </c>
      <c r="D9" s="35" t="s">
        <v>18</v>
      </c>
      <c r="E9" s="35">
        <v>68148.52</v>
      </c>
      <c r="F9" s="35">
        <v>8567</v>
      </c>
      <c r="G9" s="35">
        <v>0.127</v>
      </c>
      <c r="H9" s="35">
        <v>23</v>
      </c>
      <c r="I9" s="35">
        <v>95.6</v>
      </c>
      <c r="J9" s="35">
        <v>0.8</v>
      </c>
      <c r="K9" s="35">
        <v>0</v>
      </c>
      <c r="L9" s="35">
        <v>3.9</v>
      </c>
      <c r="M9" s="35">
        <v>850164.26</v>
      </c>
      <c r="N9" s="35">
        <v>149262.75</v>
      </c>
    </row>
    <row r="10" spans="1:14">
      <c r="A10" s="35" t="s">
        <v>19</v>
      </c>
      <c r="B10" s="36">
        <v>45658</v>
      </c>
      <c r="C10" s="35" t="s">
        <v>20</v>
      </c>
      <c r="D10" s="35" t="s">
        <v>21</v>
      </c>
      <c r="E10" s="35">
        <v>71838.86</v>
      </c>
      <c r="F10" s="35">
        <v>10979</v>
      </c>
      <c r="G10" s="35">
        <v>0.215</v>
      </c>
      <c r="H10" s="35">
        <v>26</v>
      </c>
      <c r="I10" s="35">
        <v>88.6</v>
      </c>
      <c r="J10" s="35">
        <v>7.7</v>
      </c>
      <c r="K10" s="35">
        <v>1</v>
      </c>
      <c r="L10" s="35">
        <v>3.8</v>
      </c>
      <c r="M10" s="35">
        <v>930581.7</v>
      </c>
      <c r="N10" s="35">
        <v>136207.98000000001</v>
      </c>
    </row>
    <row r="11" spans="1:14">
      <c r="A11" s="35" t="s">
        <v>19</v>
      </c>
      <c r="B11" s="36">
        <v>45689</v>
      </c>
      <c r="C11" s="35" t="s">
        <v>20</v>
      </c>
      <c r="D11" s="35" t="s">
        <v>21</v>
      </c>
      <c r="E11" s="35">
        <v>68133.440000000002</v>
      </c>
      <c r="F11" s="35">
        <v>9459</v>
      </c>
      <c r="G11" s="35">
        <v>0.22</v>
      </c>
      <c r="H11" s="35">
        <v>21</v>
      </c>
      <c r="I11" s="35">
        <v>85</v>
      </c>
      <c r="J11" s="35">
        <v>1.91</v>
      </c>
      <c r="K11" s="35">
        <v>0</v>
      </c>
      <c r="L11" s="35">
        <v>4.2</v>
      </c>
      <c r="M11" s="35">
        <v>779010.94</v>
      </c>
      <c r="N11" s="35">
        <v>106328.09</v>
      </c>
    </row>
    <row r="12" spans="1:14">
      <c r="A12" s="35" t="s">
        <v>19</v>
      </c>
      <c r="B12" s="36">
        <v>45717</v>
      </c>
      <c r="C12" s="35" t="s">
        <v>20</v>
      </c>
      <c r="D12" s="35" t="s">
        <v>21</v>
      </c>
      <c r="E12" s="35">
        <v>34285.21</v>
      </c>
      <c r="F12" s="35">
        <v>9172</v>
      </c>
      <c r="G12" s="35">
        <v>0.21299999999999999</v>
      </c>
      <c r="H12" s="35">
        <v>22</v>
      </c>
      <c r="I12" s="35">
        <v>88.3</v>
      </c>
      <c r="J12" s="35">
        <v>10.46</v>
      </c>
      <c r="K12" s="35">
        <v>1</v>
      </c>
      <c r="L12" s="35">
        <v>3.8</v>
      </c>
      <c r="M12" s="35">
        <v>723060.76</v>
      </c>
      <c r="N12" s="35">
        <v>123131.24</v>
      </c>
    </row>
    <row r="13" spans="1:14">
      <c r="A13" s="35" t="s">
        <v>19</v>
      </c>
      <c r="B13" s="36">
        <v>45748</v>
      </c>
      <c r="C13" s="35" t="s">
        <v>20</v>
      </c>
      <c r="D13" s="35" t="s">
        <v>21</v>
      </c>
      <c r="E13" s="35">
        <v>67979.88</v>
      </c>
      <c r="F13" s="35">
        <v>11230</v>
      </c>
      <c r="G13" s="35">
        <v>2E-3</v>
      </c>
      <c r="H13" s="35">
        <v>28</v>
      </c>
      <c r="I13" s="35">
        <v>85.3</v>
      </c>
      <c r="J13" s="35">
        <v>7.16</v>
      </c>
      <c r="K13" s="35">
        <v>0</v>
      </c>
      <c r="L13" s="35">
        <v>3.8</v>
      </c>
      <c r="M13" s="35">
        <v>910791.94</v>
      </c>
      <c r="N13" s="35">
        <v>158891.28</v>
      </c>
    </row>
    <row r="14" spans="1:14">
      <c r="A14" s="35" t="s">
        <v>22</v>
      </c>
      <c r="B14" s="36">
        <v>45658</v>
      </c>
      <c r="C14" s="35" t="s">
        <v>15</v>
      </c>
      <c r="D14" s="35" t="s">
        <v>16</v>
      </c>
      <c r="E14" s="35">
        <v>71828.259999999995</v>
      </c>
      <c r="F14" s="35">
        <v>12775</v>
      </c>
      <c r="G14" s="35">
        <v>0.11600000000000001</v>
      </c>
      <c r="H14" s="35">
        <v>30</v>
      </c>
      <c r="I14" s="35">
        <v>81.7</v>
      </c>
      <c r="J14" s="35">
        <v>4.24</v>
      </c>
      <c r="K14" s="35">
        <v>1</v>
      </c>
      <c r="L14" s="35">
        <v>4.2</v>
      </c>
      <c r="M14" s="35">
        <v>922168.6</v>
      </c>
      <c r="N14" s="35">
        <v>107494.53</v>
      </c>
    </row>
    <row r="15" spans="1:14">
      <c r="A15" s="35" t="s">
        <v>22</v>
      </c>
      <c r="B15" s="36">
        <v>45689</v>
      </c>
      <c r="C15" s="35" t="s">
        <v>15</v>
      </c>
      <c r="D15" s="35" t="s">
        <v>16</v>
      </c>
      <c r="E15" s="35">
        <v>55716.82</v>
      </c>
      <c r="F15" s="35">
        <v>10054</v>
      </c>
      <c r="G15" s="35">
        <v>0.14599999999999999</v>
      </c>
      <c r="H15" s="35">
        <v>24</v>
      </c>
      <c r="I15" s="35">
        <v>84.9</v>
      </c>
      <c r="J15" s="35">
        <v>1.06</v>
      </c>
      <c r="K15" s="35">
        <v>0</v>
      </c>
      <c r="L15" s="35">
        <v>4.3</v>
      </c>
      <c r="M15" s="35">
        <v>726606.28</v>
      </c>
      <c r="N15" s="35">
        <v>122729.29</v>
      </c>
    </row>
    <row r="16" spans="1:14">
      <c r="A16" s="35" t="s">
        <v>22</v>
      </c>
      <c r="B16" s="36">
        <v>45717</v>
      </c>
      <c r="C16" s="35" t="s">
        <v>15</v>
      </c>
      <c r="D16" s="35" t="s">
        <v>16</v>
      </c>
      <c r="E16" s="35">
        <v>59909.51</v>
      </c>
      <c r="F16" s="35">
        <v>8895</v>
      </c>
      <c r="G16" s="35">
        <v>0.22800000000000001</v>
      </c>
      <c r="H16" s="35">
        <v>23</v>
      </c>
      <c r="I16" s="35">
        <v>88.8</v>
      </c>
      <c r="J16" s="35">
        <v>0.27</v>
      </c>
      <c r="K16" s="35">
        <v>0</v>
      </c>
      <c r="L16" s="35">
        <v>4.3</v>
      </c>
      <c r="M16" s="35">
        <v>746501.09</v>
      </c>
      <c r="N16" s="35">
        <v>136816.72</v>
      </c>
    </row>
    <row r="17" spans="1:14">
      <c r="A17" s="35" t="s">
        <v>22</v>
      </c>
      <c r="B17" s="36">
        <v>45748</v>
      </c>
      <c r="C17" s="35" t="s">
        <v>15</v>
      </c>
      <c r="D17" s="35" t="s">
        <v>16</v>
      </c>
      <c r="E17" s="35">
        <v>75305.710000000006</v>
      </c>
      <c r="F17" s="35">
        <v>10940</v>
      </c>
      <c r="G17" s="35">
        <v>6.0000000000000001E-3</v>
      </c>
      <c r="H17" s="35">
        <v>26</v>
      </c>
      <c r="I17" s="35">
        <v>76.5</v>
      </c>
      <c r="J17" s="35">
        <v>1.32</v>
      </c>
      <c r="K17" s="35">
        <v>0</v>
      </c>
      <c r="L17" s="35">
        <v>4.5</v>
      </c>
      <c r="M17" s="35">
        <v>834017.02</v>
      </c>
      <c r="N17" s="35">
        <v>114745.03</v>
      </c>
    </row>
    <row r="18" spans="1:14">
      <c r="A18" s="35" t="s">
        <v>23</v>
      </c>
      <c r="B18" s="36">
        <v>45658</v>
      </c>
      <c r="C18" s="35" t="s">
        <v>24</v>
      </c>
      <c r="D18" s="35" t="s">
        <v>16</v>
      </c>
      <c r="E18" s="35">
        <v>48804.22</v>
      </c>
      <c r="F18" s="35">
        <v>7057</v>
      </c>
      <c r="G18" s="35">
        <v>5.0000000000000001E-3</v>
      </c>
      <c r="H18" s="35">
        <v>15</v>
      </c>
      <c r="I18" s="35">
        <v>87.7</v>
      </c>
      <c r="J18" s="35">
        <v>1.22</v>
      </c>
      <c r="K18" s="35">
        <v>0</v>
      </c>
      <c r="L18" s="35">
        <v>3.7</v>
      </c>
      <c r="M18" s="35">
        <v>666152.52</v>
      </c>
      <c r="N18" s="35">
        <v>107490.58</v>
      </c>
    </row>
    <row r="19" spans="1:14">
      <c r="A19" s="35" t="s">
        <v>23</v>
      </c>
      <c r="B19" s="36">
        <v>45689</v>
      </c>
      <c r="C19" s="35" t="s">
        <v>24</v>
      </c>
      <c r="D19" s="35" t="s">
        <v>16</v>
      </c>
      <c r="E19" s="35">
        <v>59117.9</v>
      </c>
      <c r="F19" s="35">
        <v>4263</v>
      </c>
      <c r="G19" s="35">
        <v>0.11899999999999999</v>
      </c>
      <c r="H19" s="35">
        <v>9</v>
      </c>
      <c r="I19" s="35">
        <v>87.6</v>
      </c>
      <c r="J19" s="35">
        <v>4.01</v>
      </c>
      <c r="K19" s="35">
        <v>0</v>
      </c>
      <c r="L19" s="35">
        <v>3.6</v>
      </c>
      <c r="M19" s="35">
        <v>573155.18999999994</v>
      </c>
      <c r="N19" s="35">
        <v>83680.75</v>
      </c>
    </row>
    <row r="20" spans="1:14">
      <c r="A20" s="35" t="s">
        <v>23</v>
      </c>
      <c r="B20" s="36">
        <v>45717</v>
      </c>
      <c r="C20" s="35" t="s">
        <v>24</v>
      </c>
      <c r="D20" s="35" t="s">
        <v>16</v>
      </c>
      <c r="E20" s="35">
        <v>78831.12</v>
      </c>
      <c r="F20" s="35">
        <v>5538</v>
      </c>
      <c r="G20" s="35">
        <v>0</v>
      </c>
      <c r="H20" s="35">
        <v>15</v>
      </c>
      <c r="I20" s="35">
        <v>94.1</v>
      </c>
      <c r="J20" s="35">
        <v>0.2</v>
      </c>
      <c r="K20" s="35">
        <v>0</v>
      </c>
      <c r="L20" s="35">
        <v>3.9</v>
      </c>
      <c r="M20" s="35">
        <v>666573.19999999995</v>
      </c>
      <c r="N20" s="35">
        <v>140641.01999999999</v>
      </c>
    </row>
    <row r="21" spans="1:14">
      <c r="A21" s="35" t="s">
        <v>23</v>
      </c>
      <c r="B21" s="36">
        <v>45748</v>
      </c>
      <c r="C21" s="35" t="s">
        <v>24</v>
      </c>
      <c r="D21" s="35" t="s">
        <v>16</v>
      </c>
      <c r="E21" s="35">
        <v>41441.93</v>
      </c>
      <c r="F21" s="35">
        <v>4865</v>
      </c>
      <c r="G21" s="35">
        <v>0.158</v>
      </c>
      <c r="H21" s="35">
        <v>16</v>
      </c>
      <c r="I21" s="35">
        <v>88.3</v>
      </c>
      <c r="J21" s="35">
        <v>0.5</v>
      </c>
      <c r="K21" s="35">
        <v>0</v>
      </c>
      <c r="L21" s="35">
        <v>4</v>
      </c>
      <c r="M21" s="35">
        <v>591619.94999999995</v>
      </c>
      <c r="N21" s="35">
        <v>99521.35</v>
      </c>
    </row>
    <row r="22" spans="1:14">
      <c r="A22" s="35" t="s">
        <v>25</v>
      </c>
      <c r="B22" s="36">
        <v>45658</v>
      </c>
      <c r="C22" s="35" t="s">
        <v>20</v>
      </c>
      <c r="D22" s="35" t="s">
        <v>16</v>
      </c>
      <c r="E22" s="35">
        <v>30356.28</v>
      </c>
      <c r="F22" s="35">
        <v>2822</v>
      </c>
      <c r="G22" s="35">
        <v>0.23100000000000001</v>
      </c>
      <c r="H22" s="35">
        <v>9</v>
      </c>
      <c r="I22" s="35">
        <v>84.8</v>
      </c>
      <c r="J22" s="35">
        <v>6.95</v>
      </c>
      <c r="K22" s="35">
        <v>0</v>
      </c>
      <c r="L22" s="35">
        <v>5</v>
      </c>
      <c r="M22" s="35">
        <v>415721.82</v>
      </c>
      <c r="N22" s="35">
        <v>61179.15</v>
      </c>
    </row>
    <row r="23" spans="1:14">
      <c r="A23" s="35" t="s">
        <v>25</v>
      </c>
      <c r="B23" s="36">
        <v>45689</v>
      </c>
      <c r="C23" s="35" t="s">
        <v>20</v>
      </c>
      <c r="D23" s="35" t="s">
        <v>16</v>
      </c>
      <c r="E23" s="35">
        <v>33518.879999999997</v>
      </c>
      <c r="F23" s="35">
        <v>2121</v>
      </c>
      <c r="G23" s="35">
        <v>0.17599999999999999</v>
      </c>
      <c r="H23" s="35">
        <v>8</v>
      </c>
      <c r="I23" s="35">
        <v>88.5</v>
      </c>
      <c r="J23" s="35">
        <v>0.2</v>
      </c>
      <c r="K23" s="35">
        <v>0</v>
      </c>
      <c r="L23" s="35">
        <v>5</v>
      </c>
      <c r="M23" s="35">
        <v>491905.13</v>
      </c>
      <c r="N23" s="35">
        <v>79212.259999999995</v>
      </c>
    </row>
    <row r="24" spans="1:14">
      <c r="A24" s="35" t="s">
        <v>25</v>
      </c>
      <c r="B24" s="36">
        <v>45717</v>
      </c>
      <c r="C24" s="35" t="s">
        <v>20</v>
      </c>
      <c r="D24" s="35" t="s">
        <v>16</v>
      </c>
      <c r="E24" s="35">
        <v>42267.37</v>
      </c>
      <c r="F24" s="35">
        <v>3364</v>
      </c>
      <c r="G24" s="35">
        <v>0.16</v>
      </c>
      <c r="H24" s="35">
        <v>13</v>
      </c>
      <c r="I24" s="35">
        <v>82</v>
      </c>
      <c r="J24" s="35">
        <v>1.61</v>
      </c>
      <c r="K24" s="35">
        <v>1</v>
      </c>
      <c r="L24" s="35">
        <v>4.5999999999999996</v>
      </c>
      <c r="M24" s="35">
        <v>555929.4</v>
      </c>
      <c r="N24" s="35">
        <v>115201.76</v>
      </c>
    </row>
    <row r="25" spans="1:14">
      <c r="A25" s="35" t="s">
        <v>25</v>
      </c>
      <c r="B25" s="36">
        <v>45748</v>
      </c>
      <c r="C25" s="35" t="s">
        <v>20</v>
      </c>
      <c r="D25" s="35" t="s">
        <v>16</v>
      </c>
      <c r="E25" s="35">
        <v>62060.43</v>
      </c>
      <c r="F25" s="35">
        <v>2613</v>
      </c>
      <c r="G25" s="35">
        <v>0.216</v>
      </c>
      <c r="H25" s="35">
        <v>12</v>
      </c>
      <c r="I25" s="35">
        <v>92.1</v>
      </c>
      <c r="J25" s="35">
        <v>1.55</v>
      </c>
      <c r="K25" s="35">
        <v>0</v>
      </c>
      <c r="L25" s="35">
        <v>4.7</v>
      </c>
      <c r="M25" s="35">
        <v>565810.99</v>
      </c>
      <c r="N25" s="35">
        <v>77825.460000000006</v>
      </c>
    </row>
    <row r="26" spans="1:14">
      <c r="A26" s="35" t="s">
        <v>26</v>
      </c>
      <c r="B26" s="36">
        <v>45658</v>
      </c>
      <c r="C26" s="35" t="s">
        <v>27</v>
      </c>
      <c r="D26" s="35" t="s">
        <v>28</v>
      </c>
      <c r="E26" s="35">
        <v>57696.69</v>
      </c>
      <c r="F26" s="35">
        <v>10218</v>
      </c>
      <c r="G26" s="35">
        <v>0.121</v>
      </c>
      <c r="H26" s="35">
        <v>25</v>
      </c>
      <c r="I26" s="35">
        <v>94.8</v>
      </c>
      <c r="J26" s="35">
        <v>2.99</v>
      </c>
      <c r="K26" s="35">
        <v>0</v>
      </c>
      <c r="L26" s="35">
        <v>3.5</v>
      </c>
      <c r="M26" s="35">
        <v>811771.14</v>
      </c>
      <c r="N26" s="35">
        <v>148756.24</v>
      </c>
    </row>
    <row r="27" spans="1:14">
      <c r="A27" s="35" t="s">
        <v>26</v>
      </c>
      <c r="B27" s="36">
        <v>45689</v>
      </c>
      <c r="C27" s="35" t="s">
        <v>27</v>
      </c>
      <c r="D27" s="35" t="s">
        <v>28</v>
      </c>
      <c r="E27" s="35">
        <v>172415.52</v>
      </c>
      <c r="F27" s="35">
        <v>8927</v>
      </c>
      <c r="G27" s="35">
        <v>0.14000000000000001</v>
      </c>
      <c r="H27" s="35">
        <v>22</v>
      </c>
      <c r="I27" s="35">
        <v>86.2</v>
      </c>
      <c r="J27" s="35">
        <v>7.04</v>
      </c>
      <c r="K27" s="35">
        <v>0</v>
      </c>
      <c r="L27" s="35">
        <v>3.9</v>
      </c>
      <c r="M27" s="35">
        <v>800451.94</v>
      </c>
      <c r="N27" s="35">
        <v>111572.29</v>
      </c>
    </row>
    <row r="28" spans="1:14">
      <c r="A28" s="35" t="s">
        <v>26</v>
      </c>
      <c r="B28" s="36">
        <v>45717</v>
      </c>
      <c r="C28" s="35" t="s">
        <v>27</v>
      </c>
      <c r="D28" s="35" t="s">
        <v>28</v>
      </c>
      <c r="E28" s="35">
        <v>55270.52</v>
      </c>
      <c r="F28" s="35">
        <v>9315</v>
      </c>
      <c r="G28" s="35">
        <v>0.16900000000000001</v>
      </c>
      <c r="H28" s="35">
        <v>23</v>
      </c>
      <c r="I28" s="35">
        <v>91.9</v>
      </c>
      <c r="J28" s="35">
        <v>4.9400000000000004</v>
      </c>
      <c r="K28" s="35">
        <v>0</v>
      </c>
      <c r="L28" s="35">
        <v>4</v>
      </c>
      <c r="M28" s="35">
        <v>783672.82</v>
      </c>
      <c r="N28" s="35">
        <v>112577.14</v>
      </c>
    </row>
    <row r="29" spans="1:14">
      <c r="A29" s="35" t="s">
        <v>26</v>
      </c>
      <c r="B29" s="36">
        <v>45748</v>
      </c>
      <c r="C29" s="35" t="s">
        <v>27</v>
      </c>
      <c r="D29" s="35" t="s">
        <v>28</v>
      </c>
      <c r="E29" s="35">
        <v>52715.1</v>
      </c>
      <c r="F29" s="35">
        <v>7223</v>
      </c>
      <c r="G29" s="35">
        <v>0.122</v>
      </c>
      <c r="H29" s="35">
        <v>16</v>
      </c>
      <c r="I29" s="35">
        <v>84.2</v>
      </c>
      <c r="J29" s="35">
        <v>16.149999999999999</v>
      </c>
      <c r="K29" s="35">
        <v>0</v>
      </c>
      <c r="L29" s="35">
        <v>3.7</v>
      </c>
      <c r="M29" s="35">
        <v>701641.97</v>
      </c>
      <c r="N29" s="35">
        <v>106111.86</v>
      </c>
    </row>
    <row r="30" spans="1:14">
      <c r="A30" s="35" t="s">
        <v>29</v>
      </c>
      <c r="B30" s="36">
        <v>45658</v>
      </c>
      <c r="C30" s="35" t="s">
        <v>15</v>
      </c>
      <c r="D30" s="35" t="s">
        <v>16</v>
      </c>
      <c r="E30" s="35">
        <v>68600.62</v>
      </c>
      <c r="F30" s="35">
        <v>3988</v>
      </c>
      <c r="G30" s="35">
        <v>0.124</v>
      </c>
      <c r="H30" s="35">
        <v>11</v>
      </c>
      <c r="I30" s="35">
        <v>85</v>
      </c>
      <c r="J30" s="35">
        <v>0.48</v>
      </c>
      <c r="K30" s="35">
        <v>0</v>
      </c>
      <c r="L30" s="35">
        <v>3.6</v>
      </c>
      <c r="M30" s="35">
        <v>511844.41</v>
      </c>
      <c r="N30" s="35">
        <v>72774.44</v>
      </c>
    </row>
    <row r="31" spans="1:14">
      <c r="A31" s="35" t="s">
        <v>29</v>
      </c>
      <c r="B31" s="36">
        <v>45689</v>
      </c>
      <c r="C31" s="35" t="s">
        <v>15</v>
      </c>
      <c r="D31" s="35" t="s">
        <v>16</v>
      </c>
      <c r="E31" s="35">
        <v>63176.73</v>
      </c>
      <c r="F31" s="35">
        <v>2390</v>
      </c>
      <c r="G31" s="35">
        <v>0.216</v>
      </c>
      <c r="H31" s="35">
        <v>9</v>
      </c>
      <c r="I31" s="35">
        <v>87.5</v>
      </c>
      <c r="J31" s="35">
        <v>0.31</v>
      </c>
      <c r="K31" s="35">
        <v>0</v>
      </c>
      <c r="L31" s="35">
        <v>3.1</v>
      </c>
      <c r="M31" s="35">
        <v>537383.79</v>
      </c>
      <c r="N31" s="35">
        <v>63773.27</v>
      </c>
    </row>
    <row r="32" spans="1:14">
      <c r="A32" s="35" t="s">
        <v>29</v>
      </c>
      <c r="B32" s="36">
        <v>45717</v>
      </c>
      <c r="C32" s="35" t="s">
        <v>15</v>
      </c>
      <c r="D32" s="35" t="s">
        <v>16</v>
      </c>
      <c r="E32" s="35">
        <v>44970.080000000002</v>
      </c>
      <c r="F32" s="35">
        <v>2471</v>
      </c>
      <c r="G32" s="35">
        <v>0.13600000000000001</v>
      </c>
      <c r="H32" s="35">
        <v>11</v>
      </c>
      <c r="I32" s="35">
        <v>87.6</v>
      </c>
      <c r="J32" s="35">
        <v>3.01</v>
      </c>
      <c r="K32" s="35">
        <v>1</v>
      </c>
      <c r="L32" s="35">
        <v>3.7</v>
      </c>
      <c r="M32" s="35">
        <v>500173.02</v>
      </c>
      <c r="N32" s="35">
        <v>70982.05</v>
      </c>
    </row>
    <row r="33" spans="1:14">
      <c r="A33" s="35" t="s">
        <v>29</v>
      </c>
      <c r="B33" s="36">
        <v>45748</v>
      </c>
      <c r="C33" s="35" t="s">
        <v>15</v>
      </c>
      <c r="D33" s="35" t="s">
        <v>16</v>
      </c>
      <c r="E33" s="35">
        <v>69816.350000000006</v>
      </c>
      <c r="F33" s="35">
        <v>971</v>
      </c>
      <c r="G33" s="35">
        <v>0.16800000000000001</v>
      </c>
      <c r="H33" s="35">
        <v>5</v>
      </c>
      <c r="I33" s="35">
        <v>89.9</v>
      </c>
      <c r="J33" s="35">
        <v>12.15</v>
      </c>
      <c r="K33" s="35">
        <v>0</v>
      </c>
      <c r="L33" s="35">
        <v>3.6</v>
      </c>
      <c r="M33" s="35">
        <v>427917.38</v>
      </c>
      <c r="N33" s="35">
        <v>81824.31</v>
      </c>
    </row>
    <row r="34" spans="1:14">
      <c r="A34" s="35" t="s">
        <v>30</v>
      </c>
      <c r="B34" s="36">
        <v>45658</v>
      </c>
      <c r="C34" s="35" t="s">
        <v>20</v>
      </c>
      <c r="D34" s="35" t="s">
        <v>16</v>
      </c>
      <c r="E34" s="35">
        <v>54597.83</v>
      </c>
      <c r="F34" s="35">
        <v>9429</v>
      </c>
      <c r="G34" s="35">
        <v>0.188</v>
      </c>
      <c r="H34" s="35">
        <v>21</v>
      </c>
      <c r="I34" s="35">
        <v>83.3</v>
      </c>
      <c r="J34" s="35">
        <v>11.71</v>
      </c>
      <c r="K34" s="35">
        <v>0</v>
      </c>
      <c r="L34" s="35">
        <v>4.2</v>
      </c>
      <c r="M34" s="35">
        <v>641865.03</v>
      </c>
      <c r="N34" s="35">
        <v>81342.58</v>
      </c>
    </row>
    <row r="35" spans="1:14">
      <c r="A35" s="35" t="s">
        <v>30</v>
      </c>
      <c r="B35" s="36">
        <v>45689</v>
      </c>
      <c r="C35" s="35" t="s">
        <v>20</v>
      </c>
      <c r="D35" s="35" t="s">
        <v>16</v>
      </c>
      <c r="E35" s="35">
        <v>73771.91</v>
      </c>
      <c r="F35" s="35">
        <v>11695</v>
      </c>
      <c r="G35" s="35">
        <v>7.0000000000000007E-2</v>
      </c>
      <c r="H35" s="35">
        <v>25</v>
      </c>
      <c r="I35" s="35">
        <v>84.7</v>
      </c>
      <c r="J35" s="35">
        <v>0.62</v>
      </c>
      <c r="K35" s="35">
        <v>0</v>
      </c>
      <c r="L35" s="35"/>
      <c r="M35" s="35">
        <v>799477.76000000001</v>
      </c>
      <c r="N35" s="35">
        <v>164974.41</v>
      </c>
    </row>
    <row r="36" spans="1:14">
      <c r="A36" s="35" t="s">
        <v>30</v>
      </c>
      <c r="B36" s="36">
        <v>45717</v>
      </c>
      <c r="C36" s="35" t="s">
        <v>20</v>
      </c>
      <c r="D36" s="35" t="s">
        <v>16</v>
      </c>
      <c r="E36" s="35">
        <v>74413.88</v>
      </c>
      <c r="F36" s="35">
        <v>9449</v>
      </c>
      <c r="G36" s="35">
        <v>3.9E-2</v>
      </c>
      <c r="H36" s="35">
        <v>23</v>
      </c>
      <c r="I36" s="35">
        <v>92.1</v>
      </c>
      <c r="J36" s="35">
        <v>2.12</v>
      </c>
      <c r="K36" s="35">
        <v>0</v>
      </c>
      <c r="L36" s="35">
        <v>3.5</v>
      </c>
      <c r="M36" s="35">
        <v>798952.17</v>
      </c>
      <c r="N36" s="35">
        <v>161499.04</v>
      </c>
    </row>
    <row r="37" spans="1:14">
      <c r="A37" s="35" t="s">
        <v>30</v>
      </c>
      <c r="B37" s="36">
        <v>45748</v>
      </c>
      <c r="C37" s="35" t="s">
        <v>20</v>
      </c>
      <c r="D37" s="35" t="s">
        <v>16</v>
      </c>
      <c r="E37" s="35">
        <v>52483.77</v>
      </c>
      <c r="F37" s="35">
        <v>10453</v>
      </c>
      <c r="G37" s="35">
        <v>0.247</v>
      </c>
      <c r="H37" s="35">
        <v>25</v>
      </c>
      <c r="I37" s="35">
        <v>99</v>
      </c>
      <c r="J37" s="35">
        <v>6.31</v>
      </c>
      <c r="K37" s="35">
        <v>0</v>
      </c>
      <c r="L37" s="35">
        <v>3.6</v>
      </c>
      <c r="M37" s="35">
        <v>800979.78</v>
      </c>
      <c r="N37" s="35">
        <v>149242.26999999999</v>
      </c>
    </row>
    <row r="38" spans="1:14">
      <c r="A38" s="35" t="s">
        <v>31</v>
      </c>
      <c r="B38" s="36">
        <v>45658</v>
      </c>
      <c r="C38" s="35" t="s">
        <v>20</v>
      </c>
      <c r="D38" s="35" t="s">
        <v>28</v>
      </c>
      <c r="E38" s="35">
        <v>75269.87</v>
      </c>
      <c r="F38" s="35">
        <v>8838</v>
      </c>
      <c r="G38" s="35">
        <v>9.1999999999999998E-2</v>
      </c>
      <c r="H38" s="35">
        <v>21</v>
      </c>
      <c r="I38" s="35">
        <v>83.1</v>
      </c>
      <c r="J38" s="35">
        <v>9.56</v>
      </c>
      <c r="K38" s="35">
        <v>1</v>
      </c>
      <c r="L38" s="35">
        <v>4.2</v>
      </c>
      <c r="M38" s="35">
        <v>820593.93</v>
      </c>
      <c r="N38" s="35">
        <v>115860.06</v>
      </c>
    </row>
    <row r="39" spans="1:14">
      <c r="A39" s="35" t="s">
        <v>31</v>
      </c>
      <c r="B39" s="36">
        <v>45689</v>
      </c>
      <c r="C39" s="35" t="s">
        <v>20</v>
      </c>
      <c r="D39" s="35" t="s">
        <v>28</v>
      </c>
      <c r="E39" s="35">
        <v>61245.41</v>
      </c>
      <c r="F39" s="35">
        <v>8156</v>
      </c>
      <c r="G39" s="35">
        <v>0.156</v>
      </c>
      <c r="H39" s="35">
        <v>19</v>
      </c>
      <c r="I39" s="35">
        <v>92.9</v>
      </c>
      <c r="J39" s="35">
        <v>9.0500000000000007</v>
      </c>
      <c r="K39" s="35">
        <v>0</v>
      </c>
      <c r="L39" s="35">
        <v>3.8</v>
      </c>
      <c r="M39" s="35">
        <v>718330.53</v>
      </c>
      <c r="N39" s="35">
        <v>93247.9</v>
      </c>
    </row>
    <row r="40" spans="1:14">
      <c r="A40" s="35" t="s">
        <v>31</v>
      </c>
      <c r="B40" s="36">
        <v>45717</v>
      </c>
      <c r="C40" s="35" t="s">
        <v>20</v>
      </c>
      <c r="D40" s="35" t="s">
        <v>28</v>
      </c>
      <c r="E40" s="35">
        <v>93381.26</v>
      </c>
      <c r="F40" s="35">
        <v>7562</v>
      </c>
      <c r="G40" s="35">
        <v>0.19800000000000001</v>
      </c>
      <c r="H40" s="35">
        <v>19</v>
      </c>
      <c r="I40" s="35">
        <v>82.9</v>
      </c>
      <c r="J40" s="35">
        <v>5.05</v>
      </c>
      <c r="K40" s="35">
        <v>0</v>
      </c>
      <c r="L40" s="35">
        <v>4</v>
      </c>
      <c r="M40" s="35">
        <v>736633.4</v>
      </c>
      <c r="N40" s="35">
        <v>115654.66</v>
      </c>
    </row>
    <row r="41" spans="1:14">
      <c r="A41" s="35" t="s">
        <v>31</v>
      </c>
      <c r="B41" s="36">
        <v>45748</v>
      </c>
      <c r="C41" s="35" t="s">
        <v>20</v>
      </c>
      <c r="D41" s="35" t="s">
        <v>28</v>
      </c>
      <c r="E41" s="35">
        <v>65012.19</v>
      </c>
      <c r="F41" s="35">
        <v>9598</v>
      </c>
      <c r="G41" s="35">
        <v>8.5000000000000006E-2</v>
      </c>
      <c r="H41" s="35">
        <v>24</v>
      </c>
      <c r="I41" s="35">
        <v>98.3</v>
      </c>
      <c r="J41" s="35">
        <v>0.89</v>
      </c>
      <c r="K41" s="35">
        <v>0</v>
      </c>
      <c r="L41" s="35">
        <v>3.8</v>
      </c>
      <c r="M41" s="35">
        <v>828623.85</v>
      </c>
      <c r="N41" s="35">
        <v>167320.51999999999</v>
      </c>
    </row>
    <row r="42" spans="1:14">
      <c r="A42" s="35" t="s">
        <v>32</v>
      </c>
      <c r="B42" s="36">
        <v>45658</v>
      </c>
      <c r="C42" s="35" t="s">
        <v>15</v>
      </c>
      <c r="D42" s="35" t="s">
        <v>28</v>
      </c>
      <c r="E42" s="35">
        <v>40462.94</v>
      </c>
      <c r="F42" s="35">
        <v>3660</v>
      </c>
      <c r="G42" s="35">
        <v>0.218</v>
      </c>
      <c r="H42" s="35">
        <v>11</v>
      </c>
      <c r="I42" s="35">
        <v>95.2</v>
      </c>
      <c r="J42" s="35">
        <v>5.57</v>
      </c>
      <c r="K42" s="35">
        <v>0</v>
      </c>
      <c r="L42" s="35">
        <v>4.4000000000000004</v>
      </c>
      <c r="M42" s="35">
        <v>592195.85</v>
      </c>
      <c r="N42" s="35">
        <v>92291.56</v>
      </c>
    </row>
    <row r="43" spans="1:14">
      <c r="A43" s="35" t="s">
        <v>32</v>
      </c>
      <c r="B43" s="36">
        <v>45689</v>
      </c>
      <c r="C43" s="35" t="s">
        <v>15</v>
      </c>
      <c r="D43" s="35" t="s">
        <v>28</v>
      </c>
      <c r="E43" s="35">
        <v>46123.88</v>
      </c>
      <c r="F43" s="35">
        <v>3227</v>
      </c>
      <c r="G43" s="35">
        <v>0.14299999999999999</v>
      </c>
      <c r="H43" s="35">
        <v>10</v>
      </c>
      <c r="I43" s="35">
        <v>75.400000000000006</v>
      </c>
      <c r="J43" s="35">
        <v>1.06</v>
      </c>
      <c r="K43" s="35">
        <v>0</v>
      </c>
      <c r="L43" s="35">
        <v>4.4000000000000004</v>
      </c>
      <c r="M43" s="35">
        <v>532644.46</v>
      </c>
      <c r="N43" s="35">
        <v>60681.32</v>
      </c>
    </row>
    <row r="44" spans="1:14">
      <c r="A44" s="35" t="s">
        <v>32</v>
      </c>
      <c r="B44" s="36">
        <v>45717</v>
      </c>
      <c r="C44" s="35" t="s">
        <v>15</v>
      </c>
      <c r="D44" s="35" t="s">
        <v>28</v>
      </c>
      <c r="E44" s="35">
        <v>68077.539999999994</v>
      </c>
      <c r="F44" s="35">
        <v>3360</v>
      </c>
      <c r="G44" s="35">
        <v>0.128</v>
      </c>
      <c r="H44" s="35">
        <v>14</v>
      </c>
      <c r="I44" s="35">
        <v>88.2</v>
      </c>
      <c r="J44" s="35">
        <v>1.24</v>
      </c>
      <c r="K44" s="35">
        <v>1</v>
      </c>
      <c r="L44" s="35">
        <v>4</v>
      </c>
      <c r="M44" s="35">
        <v>657429.18000000005</v>
      </c>
      <c r="N44" s="35">
        <v>88919.74</v>
      </c>
    </row>
    <row r="45" spans="1:14">
      <c r="A45" s="35" t="s">
        <v>32</v>
      </c>
      <c r="B45" s="36">
        <v>45748</v>
      </c>
      <c r="C45" s="35" t="s">
        <v>15</v>
      </c>
      <c r="D45" s="35" t="s">
        <v>28</v>
      </c>
      <c r="E45" s="35">
        <v>64882.14</v>
      </c>
      <c r="F45" s="35">
        <v>3642</v>
      </c>
      <c r="G45" s="35">
        <v>1.9E-2</v>
      </c>
      <c r="H45" s="35">
        <v>13</v>
      </c>
      <c r="I45" s="35">
        <v>87.8</v>
      </c>
      <c r="J45" s="35">
        <v>4.5199999999999996</v>
      </c>
      <c r="K45" s="35">
        <v>0</v>
      </c>
      <c r="L45" s="35">
        <v>4.2</v>
      </c>
      <c r="M45" s="35">
        <v>605178</v>
      </c>
      <c r="N45" s="35">
        <v>106958.74</v>
      </c>
    </row>
    <row r="46" spans="1:14">
      <c r="A46" s="35" t="s">
        <v>33</v>
      </c>
      <c r="B46" s="36">
        <v>45658</v>
      </c>
      <c r="C46" s="35" t="s">
        <v>27</v>
      </c>
      <c r="D46" s="35" t="s">
        <v>16</v>
      </c>
      <c r="E46" s="35">
        <v>138855.51</v>
      </c>
      <c r="F46" s="35">
        <v>5145</v>
      </c>
      <c r="G46" s="35">
        <v>0.06</v>
      </c>
      <c r="H46" s="35">
        <v>17</v>
      </c>
      <c r="I46" s="35">
        <v>88.2</v>
      </c>
      <c r="J46" s="35">
        <v>9.58</v>
      </c>
      <c r="K46" s="35">
        <v>0</v>
      </c>
      <c r="L46" s="35">
        <v>3.2</v>
      </c>
      <c r="M46" s="35">
        <v>595467.6</v>
      </c>
      <c r="N46" s="35">
        <v>104276.46</v>
      </c>
    </row>
    <row r="47" spans="1:14">
      <c r="A47" s="35" t="s">
        <v>33</v>
      </c>
      <c r="B47" s="36">
        <v>45689</v>
      </c>
      <c r="C47" s="35" t="s">
        <v>27</v>
      </c>
      <c r="D47" s="35" t="s">
        <v>16</v>
      </c>
      <c r="E47" s="35">
        <v>63630.21</v>
      </c>
      <c r="F47" s="35">
        <v>4460</v>
      </c>
      <c r="G47" s="35">
        <v>0.23499999999999999</v>
      </c>
      <c r="H47" s="35">
        <v>14</v>
      </c>
      <c r="I47" s="35">
        <v>98.6</v>
      </c>
      <c r="J47" s="35">
        <v>5.52</v>
      </c>
      <c r="K47" s="35">
        <v>0</v>
      </c>
      <c r="L47" s="35">
        <v>3.5</v>
      </c>
      <c r="M47" s="35">
        <v>599603.4</v>
      </c>
      <c r="N47" s="35">
        <v>112685.12</v>
      </c>
    </row>
    <row r="48" spans="1:14">
      <c r="A48" s="35" t="s">
        <v>33</v>
      </c>
      <c r="B48" s="36">
        <v>45717</v>
      </c>
      <c r="C48" s="35" t="s">
        <v>27</v>
      </c>
      <c r="D48" s="35" t="s">
        <v>16</v>
      </c>
      <c r="E48" s="35">
        <v>50043.65</v>
      </c>
      <c r="F48" s="35">
        <v>3804</v>
      </c>
      <c r="G48" s="35">
        <v>0.113</v>
      </c>
      <c r="H48" s="35">
        <v>11</v>
      </c>
      <c r="I48" s="35">
        <v>90.9</v>
      </c>
      <c r="J48" s="35">
        <v>2.7</v>
      </c>
      <c r="K48" s="35">
        <v>1</v>
      </c>
      <c r="L48" s="35">
        <v>3.2</v>
      </c>
      <c r="M48" s="35">
        <v>614800.09</v>
      </c>
      <c r="N48" s="35">
        <v>100044.2</v>
      </c>
    </row>
    <row r="49" spans="1:14">
      <c r="A49" s="35" t="s">
        <v>33</v>
      </c>
      <c r="B49" s="36">
        <v>45748</v>
      </c>
      <c r="C49" s="35" t="s">
        <v>27</v>
      </c>
      <c r="D49" s="35" t="s">
        <v>16</v>
      </c>
      <c r="E49" s="35">
        <v>42093.84</v>
      </c>
      <c r="F49" s="35">
        <v>4074</v>
      </c>
      <c r="G49" s="35">
        <v>0.155</v>
      </c>
      <c r="H49" s="35">
        <v>15</v>
      </c>
      <c r="I49" s="35">
        <v>88</v>
      </c>
      <c r="J49" s="35">
        <v>9.64</v>
      </c>
      <c r="K49" s="35">
        <v>0</v>
      </c>
      <c r="L49" s="35">
        <v>3.3</v>
      </c>
      <c r="M49" s="35">
        <v>585365.73</v>
      </c>
      <c r="N49" s="35">
        <v>81011.520000000004</v>
      </c>
    </row>
    <row r="50" spans="1:14">
      <c r="A50" s="35" t="s">
        <v>34</v>
      </c>
      <c r="B50" s="36">
        <v>45658</v>
      </c>
      <c r="C50" s="35" t="s">
        <v>20</v>
      </c>
      <c r="D50" s="35" t="s">
        <v>28</v>
      </c>
      <c r="E50" s="35">
        <v>46624.05</v>
      </c>
      <c r="F50" s="35">
        <v>5104</v>
      </c>
      <c r="G50" s="35">
        <v>0.109</v>
      </c>
      <c r="H50" s="35">
        <v>11</v>
      </c>
      <c r="I50" s="35">
        <v>97.3</v>
      </c>
      <c r="J50" s="35">
        <v>3.49</v>
      </c>
      <c r="K50" s="35">
        <v>1</v>
      </c>
      <c r="L50" s="35">
        <v>4.7</v>
      </c>
      <c r="M50" s="35">
        <v>622811.74</v>
      </c>
      <c r="N50" s="35">
        <v>109978.35</v>
      </c>
    </row>
    <row r="51" spans="1:14">
      <c r="A51" s="35" t="s">
        <v>34</v>
      </c>
      <c r="B51" s="36">
        <v>45689</v>
      </c>
      <c r="C51" s="35" t="s">
        <v>20</v>
      </c>
      <c r="D51" s="35" t="s">
        <v>28</v>
      </c>
      <c r="E51" s="35">
        <v>49710.29</v>
      </c>
      <c r="F51" s="35">
        <v>5559</v>
      </c>
      <c r="G51" s="35">
        <v>0.218</v>
      </c>
      <c r="H51" s="35">
        <v>14</v>
      </c>
      <c r="I51" s="35">
        <v>71</v>
      </c>
      <c r="J51" s="35">
        <v>9.11</v>
      </c>
      <c r="K51" s="35">
        <v>0</v>
      </c>
      <c r="L51" s="35">
        <v>4.5999999999999996</v>
      </c>
      <c r="M51" s="35">
        <v>603297.56999999995</v>
      </c>
      <c r="N51" s="35">
        <v>60592.26</v>
      </c>
    </row>
    <row r="52" spans="1:14">
      <c r="A52" s="35" t="s">
        <v>34</v>
      </c>
      <c r="B52" s="36">
        <v>45717</v>
      </c>
      <c r="C52" s="35" t="s">
        <v>20</v>
      </c>
      <c r="D52" s="35" t="s">
        <v>28</v>
      </c>
      <c r="E52" s="35">
        <v>48287.85</v>
      </c>
      <c r="F52" s="35">
        <v>5150</v>
      </c>
      <c r="G52" s="35">
        <v>8.0000000000000002E-3</v>
      </c>
      <c r="H52" s="35">
        <v>12</v>
      </c>
      <c r="I52" s="35">
        <v>80.400000000000006</v>
      </c>
      <c r="J52" s="35">
        <v>7.4</v>
      </c>
      <c r="K52" s="35">
        <v>0</v>
      </c>
      <c r="L52" s="35">
        <v>4.5</v>
      </c>
      <c r="M52" s="35">
        <v>625672.86</v>
      </c>
      <c r="N52" s="35">
        <v>118020.12</v>
      </c>
    </row>
    <row r="53" spans="1:14">
      <c r="A53" s="35" t="s">
        <v>34</v>
      </c>
      <c r="B53" s="36">
        <v>45748</v>
      </c>
      <c r="C53" s="35" t="s">
        <v>20</v>
      </c>
      <c r="D53" s="35" t="s">
        <v>28</v>
      </c>
      <c r="E53" s="35">
        <v>65312.49</v>
      </c>
      <c r="F53" s="35">
        <v>7189</v>
      </c>
      <c r="G53" s="35">
        <v>0.05</v>
      </c>
      <c r="H53" s="35">
        <v>19</v>
      </c>
      <c r="I53" s="35">
        <v>93.7</v>
      </c>
      <c r="J53" s="35">
        <v>7.16</v>
      </c>
      <c r="K53" s="35">
        <v>0</v>
      </c>
      <c r="L53" s="35">
        <v>4.5999999999999996</v>
      </c>
      <c r="M53" s="35">
        <v>773815.14</v>
      </c>
      <c r="N53" s="35">
        <v>133948.39000000001</v>
      </c>
    </row>
    <row r="54" spans="1:14">
      <c r="A54" s="35" t="s">
        <v>35</v>
      </c>
      <c r="B54" s="36">
        <v>45658</v>
      </c>
      <c r="C54" s="35" t="s">
        <v>27</v>
      </c>
      <c r="D54" s="35" t="s">
        <v>18</v>
      </c>
      <c r="E54" s="35">
        <v>53015.46</v>
      </c>
      <c r="F54" s="35">
        <v>3279</v>
      </c>
      <c r="G54" s="35">
        <v>8.6999999999999994E-2</v>
      </c>
      <c r="H54" s="35">
        <v>9</v>
      </c>
      <c r="I54" s="35">
        <v>84.3</v>
      </c>
      <c r="J54" s="35">
        <v>22.02</v>
      </c>
      <c r="K54" s="35">
        <v>0</v>
      </c>
      <c r="L54" s="35">
        <v>3.9</v>
      </c>
      <c r="M54" s="35">
        <v>463534.25</v>
      </c>
      <c r="N54" s="35">
        <v>81834.539999999994</v>
      </c>
    </row>
    <row r="55" spans="1:14">
      <c r="A55" s="35" t="s">
        <v>35</v>
      </c>
      <c r="B55" s="36">
        <v>45689</v>
      </c>
      <c r="C55" s="35" t="s">
        <v>27</v>
      </c>
      <c r="D55" s="35" t="s">
        <v>18</v>
      </c>
      <c r="E55" s="35">
        <v>99874.01</v>
      </c>
      <c r="F55" s="35">
        <v>5887</v>
      </c>
      <c r="G55" s="35">
        <v>0.26200000000000001</v>
      </c>
      <c r="H55" s="35">
        <v>14</v>
      </c>
      <c r="I55" s="35">
        <v>88.7</v>
      </c>
      <c r="J55" s="35">
        <v>6.18</v>
      </c>
      <c r="K55" s="35">
        <v>0</v>
      </c>
      <c r="L55" s="35">
        <v>4.7</v>
      </c>
      <c r="M55" s="35">
        <v>746677.75</v>
      </c>
      <c r="N55" s="35">
        <v>122437.84</v>
      </c>
    </row>
    <row r="56" spans="1:14">
      <c r="A56" s="35" t="s">
        <v>35</v>
      </c>
      <c r="B56" s="36">
        <v>45717</v>
      </c>
      <c r="C56" s="35" t="s">
        <v>27</v>
      </c>
      <c r="D56" s="35" t="s">
        <v>18</v>
      </c>
      <c r="E56" s="35">
        <v>81195.5</v>
      </c>
      <c r="F56" s="35">
        <v>5516</v>
      </c>
      <c r="G56" s="35">
        <v>0.106</v>
      </c>
      <c r="H56" s="35">
        <v>14</v>
      </c>
      <c r="I56" s="35">
        <v>88</v>
      </c>
      <c r="J56" s="35">
        <v>1.76</v>
      </c>
      <c r="K56" s="35">
        <v>0</v>
      </c>
      <c r="L56" s="35">
        <v>4.3</v>
      </c>
      <c r="M56" s="35">
        <v>720852.5</v>
      </c>
      <c r="N56" s="35">
        <v>98565.62</v>
      </c>
    </row>
    <row r="57" spans="1:14">
      <c r="A57" s="35" t="s">
        <v>35</v>
      </c>
      <c r="B57" s="36">
        <v>45748</v>
      </c>
      <c r="C57" s="35" t="s">
        <v>27</v>
      </c>
      <c r="D57" s="35" t="s">
        <v>18</v>
      </c>
      <c r="E57" s="35">
        <v>27808.6</v>
      </c>
      <c r="F57" s="35">
        <v>2863</v>
      </c>
      <c r="G57" s="35">
        <v>0.08</v>
      </c>
      <c r="H57" s="35">
        <v>13</v>
      </c>
      <c r="I57" s="35">
        <v>89.3</v>
      </c>
      <c r="J57" s="35">
        <v>0.47</v>
      </c>
      <c r="K57" s="35">
        <v>0</v>
      </c>
      <c r="L57" s="35">
        <v>4.0999999999999996</v>
      </c>
      <c r="M57" s="35">
        <v>487464.91</v>
      </c>
      <c r="N57" s="35">
        <v>64562.26</v>
      </c>
    </row>
    <row r="58" spans="1:14">
      <c r="A58" s="35" t="s">
        <v>36</v>
      </c>
      <c r="B58" s="36">
        <v>45658</v>
      </c>
      <c r="C58" s="35" t="s">
        <v>15</v>
      </c>
      <c r="D58" s="35" t="s">
        <v>21</v>
      </c>
      <c r="E58" s="35">
        <v>19365.060000000001</v>
      </c>
      <c r="F58" s="35">
        <v>2378</v>
      </c>
      <c r="G58" s="35">
        <v>0</v>
      </c>
      <c r="H58" s="35">
        <v>12</v>
      </c>
      <c r="I58" s="35">
        <v>94.8</v>
      </c>
      <c r="J58" s="35">
        <v>0.2</v>
      </c>
      <c r="K58" s="35">
        <v>0</v>
      </c>
      <c r="L58" s="35">
        <v>3.5</v>
      </c>
      <c r="M58" s="35">
        <v>518049.26</v>
      </c>
      <c r="N58" s="35">
        <v>108592.49</v>
      </c>
    </row>
    <row r="59" spans="1:14">
      <c r="A59" s="35" t="s">
        <v>36</v>
      </c>
      <c r="B59" s="36">
        <v>45689</v>
      </c>
      <c r="C59" s="35" t="s">
        <v>15</v>
      </c>
      <c r="D59" s="35" t="s">
        <v>21</v>
      </c>
      <c r="E59" s="35">
        <v>59405.68</v>
      </c>
      <c r="F59" s="35">
        <v>2515</v>
      </c>
      <c r="G59" s="35">
        <v>3.9E-2</v>
      </c>
      <c r="H59" s="35">
        <v>12</v>
      </c>
      <c r="I59" s="35">
        <v>76</v>
      </c>
      <c r="J59" s="35">
        <v>5.1100000000000003</v>
      </c>
      <c r="K59" s="35">
        <v>0</v>
      </c>
      <c r="L59" s="35">
        <v>3.7</v>
      </c>
      <c r="M59" s="35">
        <v>500298.48</v>
      </c>
      <c r="N59" s="35">
        <v>73461.320000000007</v>
      </c>
    </row>
    <row r="60" spans="1:14">
      <c r="A60" s="35" t="s">
        <v>36</v>
      </c>
      <c r="B60" s="36">
        <v>45717</v>
      </c>
      <c r="C60" s="35" t="s">
        <v>15</v>
      </c>
      <c r="D60" s="35" t="s">
        <v>21</v>
      </c>
      <c r="E60" s="35">
        <v>118910.48</v>
      </c>
      <c r="F60" s="35">
        <v>4022</v>
      </c>
      <c r="G60" s="35">
        <v>0.13700000000000001</v>
      </c>
      <c r="H60" s="35">
        <v>11</v>
      </c>
      <c r="I60" s="35">
        <v>87.1</v>
      </c>
      <c r="J60" s="35">
        <v>0.2</v>
      </c>
      <c r="K60" s="35">
        <v>0</v>
      </c>
      <c r="L60" s="35">
        <v>3.1</v>
      </c>
      <c r="M60" s="35">
        <v>617291.15</v>
      </c>
      <c r="N60" s="35">
        <v>117782</v>
      </c>
    </row>
    <row r="61" spans="1:14">
      <c r="A61" s="35" t="s">
        <v>36</v>
      </c>
      <c r="B61" s="36">
        <v>45748</v>
      </c>
      <c r="C61" s="35" t="s">
        <v>15</v>
      </c>
      <c r="D61" s="35" t="s">
        <v>21</v>
      </c>
      <c r="E61" s="35">
        <v>52952.12</v>
      </c>
      <c r="F61" s="35">
        <v>4377</v>
      </c>
      <c r="G61" s="35">
        <v>9.1999999999999998E-2</v>
      </c>
      <c r="H61" s="35">
        <v>14</v>
      </c>
      <c r="I61" s="35">
        <v>88.6</v>
      </c>
      <c r="J61" s="35">
        <v>13.59</v>
      </c>
      <c r="K61" s="35">
        <v>0</v>
      </c>
      <c r="L61" s="35">
        <v>3.1</v>
      </c>
      <c r="M61" s="35">
        <v>553756.43000000005</v>
      </c>
      <c r="N61" s="35">
        <v>86166.77</v>
      </c>
    </row>
    <row r="62" spans="1:14">
      <c r="A62" s="35" t="s">
        <v>37</v>
      </c>
      <c r="B62" s="36">
        <v>45658</v>
      </c>
      <c r="C62" s="35" t="s">
        <v>24</v>
      </c>
      <c r="D62" s="35" t="s">
        <v>18</v>
      </c>
      <c r="E62" s="35">
        <v>74907.98</v>
      </c>
      <c r="F62" s="35">
        <v>5306</v>
      </c>
      <c r="G62" s="35">
        <v>6.2E-2</v>
      </c>
      <c r="H62" s="35">
        <v>16</v>
      </c>
      <c r="I62" s="35">
        <v>95.6</v>
      </c>
      <c r="J62" s="35">
        <v>1.02</v>
      </c>
      <c r="K62" s="35">
        <v>0</v>
      </c>
      <c r="L62" s="35">
        <v>3.7</v>
      </c>
      <c r="M62" s="35">
        <v>749559.71</v>
      </c>
      <c r="N62" s="35">
        <v>144522.53</v>
      </c>
    </row>
    <row r="63" spans="1:14">
      <c r="A63" s="35" t="s">
        <v>37</v>
      </c>
      <c r="B63" s="36">
        <v>45689</v>
      </c>
      <c r="C63" s="35" t="s">
        <v>24</v>
      </c>
      <c r="D63" s="35" t="s">
        <v>18</v>
      </c>
      <c r="E63" s="35">
        <v>37284.660000000003</v>
      </c>
      <c r="F63" s="35">
        <v>3928</v>
      </c>
      <c r="G63" s="35">
        <v>7.3999999999999996E-2</v>
      </c>
      <c r="H63" s="35">
        <v>12</v>
      </c>
      <c r="I63" s="35">
        <v>86.5</v>
      </c>
      <c r="J63" s="35">
        <v>1.64</v>
      </c>
      <c r="K63" s="35">
        <v>0</v>
      </c>
      <c r="L63" s="35">
        <v>3.8</v>
      </c>
      <c r="M63" s="35">
        <v>615966.48</v>
      </c>
      <c r="N63" s="35">
        <v>91509.38</v>
      </c>
    </row>
    <row r="64" spans="1:14">
      <c r="A64" s="35" t="s">
        <v>37</v>
      </c>
      <c r="B64" s="36">
        <v>45717</v>
      </c>
      <c r="C64" s="35" t="s">
        <v>24</v>
      </c>
      <c r="D64" s="35" t="s">
        <v>18</v>
      </c>
      <c r="E64" s="35">
        <v>50343.19</v>
      </c>
      <c r="F64" s="35">
        <v>3845</v>
      </c>
      <c r="G64" s="35">
        <v>0.113</v>
      </c>
      <c r="H64" s="35">
        <v>9</v>
      </c>
      <c r="I64" s="35">
        <v>88.7</v>
      </c>
      <c r="J64" s="35">
        <v>5.15</v>
      </c>
      <c r="K64" s="35">
        <v>0</v>
      </c>
      <c r="L64" s="35">
        <v>3.3</v>
      </c>
      <c r="M64" s="35">
        <v>572011.19999999995</v>
      </c>
      <c r="N64" s="35">
        <v>101409.68</v>
      </c>
    </row>
    <row r="65" spans="1:14">
      <c r="A65" s="35" t="s">
        <v>37</v>
      </c>
      <c r="B65" s="36">
        <v>45748</v>
      </c>
      <c r="C65" s="35" t="s">
        <v>24</v>
      </c>
      <c r="D65" s="35" t="s">
        <v>18</v>
      </c>
      <c r="E65" s="35">
        <v>74954.47</v>
      </c>
      <c r="F65" s="35">
        <v>6620</v>
      </c>
      <c r="G65" s="35">
        <v>5.3999999999999999E-2</v>
      </c>
      <c r="H65" s="35">
        <v>17</v>
      </c>
      <c r="I65" s="35">
        <v>91.1</v>
      </c>
      <c r="J65" s="35">
        <v>1.1100000000000001</v>
      </c>
      <c r="K65" s="35">
        <v>0</v>
      </c>
      <c r="L65" s="35">
        <v>3.5</v>
      </c>
      <c r="M65" s="35">
        <v>761860.19</v>
      </c>
      <c r="N65" s="35">
        <v>133279.38</v>
      </c>
    </row>
    <row r="66" spans="1:14">
      <c r="A66" s="35" t="s">
        <v>38</v>
      </c>
      <c r="B66" s="36">
        <v>45658</v>
      </c>
      <c r="C66" s="35" t="s">
        <v>27</v>
      </c>
      <c r="D66" s="35" t="s">
        <v>18</v>
      </c>
      <c r="E66" s="35">
        <v>70040.31</v>
      </c>
      <c r="F66" s="35">
        <v>9175</v>
      </c>
      <c r="G66" s="35">
        <v>0.107</v>
      </c>
      <c r="H66" s="35">
        <v>23</v>
      </c>
      <c r="I66" s="35">
        <v>95.1</v>
      </c>
      <c r="J66" s="35">
        <v>6.08</v>
      </c>
      <c r="K66" s="35">
        <v>1</v>
      </c>
      <c r="L66" s="35">
        <v>3.4</v>
      </c>
      <c r="M66" s="35">
        <v>784502.68</v>
      </c>
      <c r="N66" s="35">
        <v>129519.72</v>
      </c>
    </row>
    <row r="67" spans="1:14">
      <c r="A67" s="35" t="s">
        <v>38</v>
      </c>
      <c r="B67" s="36">
        <v>45689</v>
      </c>
      <c r="C67" s="35" t="s">
        <v>27</v>
      </c>
      <c r="D67" s="35" t="s">
        <v>18</v>
      </c>
      <c r="E67" s="35">
        <v>51148.69</v>
      </c>
      <c r="F67" s="35">
        <v>7940</v>
      </c>
      <c r="G67" s="35">
        <v>0.156</v>
      </c>
      <c r="H67" s="35">
        <v>18</v>
      </c>
      <c r="I67" s="35">
        <v>93.3</v>
      </c>
      <c r="J67" s="35">
        <v>10.91</v>
      </c>
      <c r="K67" s="35">
        <v>0</v>
      </c>
      <c r="L67" s="35">
        <v>3.6</v>
      </c>
      <c r="M67" s="35">
        <v>717141.55</v>
      </c>
      <c r="N67" s="35">
        <v>134013.60999999999</v>
      </c>
    </row>
    <row r="68" spans="1:14">
      <c r="A68" s="35" t="s">
        <v>38</v>
      </c>
      <c r="B68" s="36">
        <v>45717</v>
      </c>
      <c r="C68" s="35" t="s">
        <v>27</v>
      </c>
      <c r="D68" s="35" t="s">
        <v>18</v>
      </c>
      <c r="E68" s="35">
        <v>79346.100000000006</v>
      </c>
      <c r="F68" s="35">
        <v>9628</v>
      </c>
      <c r="G68" s="35">
        <v>0.10199999999999999</v>
      </c>
      <c r="H68" s="35">
        <v>20</v>
      </c>
      <c r="I68" s="35">
        <v>99</v>
      </c>
      <c r="J68" s="35">
        <v>19.010000000000002</v>
      </c>
      <c r="K68" s="35">
        <v>1</v>
      </c>
      <c r="L68" s="35">
        <v>3.2</v>
      </c>
      <c r="M68" s="35">
        <v>685379.08</v>
      </c>
      <c r="N68" s="35">
        <v>106898.82</v>
      </c>
    </row>
    <row r="69" spans="1:14">
      <c r="A69" s="35" t="s">
        <v>38</v>
      </c>
      <c r="B69" s="36">
        <v>45748</v>
      </c>
      <c r="C69" s="35" t="s">
        <v>27</v>
      </c>
      <c r="D69" s="35" t="s">
        <v>18</v>
      </c>
      <c r="E69" s="35">
        <v>42018.400000000001</v>
      </c>
      <c r="F69" s="35">
        <v>8296</v>
      </c>
      <c r="G69" s="35">
        <v>0.115</v>
      </c>
      <c r="H69" s="35">
        <v>17</v>
      </c>
      <c r="I69" s="35">
        <v>91.8</v>
      </c>
      <c r="J69" s="35">
        <v>0.77</v>
      </c>
      <c r="K69" s="35">
        <v>0</v>
      </c>
      <c r="L69" s="35">
        <v>3.4</v>
      </c>
      <c r="M69" s="35">
        <v>740496.65</v>
      </c>
      <c r="N69" s="35">
        <v>128020.9</v>
      </c>
    </row>
    <row r="70" spans="1:14">
      <c r="A70" s="35" t="s">
        <v>39</v>
      </c>
      <c r="B70" s="36">
        <v>45658</v>
      </c>
      <c r="C70" s="35" t="s">
        <v>15</v>
      </c>
      <c r="D70" s="35" t="s">
        <v>18</v>
      </c>
      <c r="E70" s="35">
        <v>70937.240000000005</v>
      </c>
      <c r="F70" s="35">
        <v>3595</v>
      </c>
      <c r="G70" s="35">
        <v>0.14099999999999999</v>
      </c>
      <c r="H70" s="35">
        <v>11</v>
      </c>
      <c r="I70" s="35">
        <v>88.9</v>
      </c>
      <c r="J70" s="35">
        <v>2.83</v>
      </c>
      <c r="K70" s="35">
        <v>1</v>
      </c>
      <c r="L70" s="35">
        <v>3.3</v>
      </c>
      <c r="M70" s="35">
        <v>661927.14</v>
      </c>
      <c r="N70" s="35">
        <v>79218.570000000007</v>
      </c>
    </row>
    <row r="71" spans="1:14">
      <c r="A71" s="35" t="s">
        <v>39</v>
      </c>
      <c r="B71" s="36">
        <v>45689</v>
      </c>
      <c r="C71" s="35" t="s">
        <v>15</v>
      </c>
      <c r="D71" s="35" t="s">
        <v>18</v>
      </c>
      <c r="E71" s="35">
        <v>36813.449999999997</v>
      </c>
      <c r="F71" s="35">
        <v>2834</v>
      </c>
      <c r="G71" s="35">
        <v>0.191</v>
      </c>
      <c r="H71" s="35">
        <v>11</v>
      </c>
      <c r="I71" s="35">
        <v>81.8</v>
      </c>
      <c r="J71" s="35">
        <v>2.33</v>
      </c>
      <c r="K71" s="35">
        <v>0</v>
      </c>
      <c r="L71" s="35">
        <v>3.3</v>
      </c>
      <c r="M71" s="35">
        <v>479050.5</v>
      </c>
      <c r="N71" s="35">
        <v>53651.11</v>
      </c>
    </row>
    <row r="72" spans="1:14">
      <c r="A72" s="35" t="s">
        <v>39</v>
      </c>
      <c r="B72" s="36">
        <v>45717</v>
      </c>
      <c r="C72" s="35" t="s">
        <v>15</v>
      </c>
      <c r="D72" s="35" t="s">
        <v>18</v>
      </c>
      <c r="E72" s="35">
        <v>60571.82</v>
      </c>
      <c r="F72" s="35">
        <v>3193</v>
      </c>
      <c r="G72" s="35">
        <v>0.19700000000000001</v>
      </c>
      <c r="H72" s="35">
        <v>7</v>
      </c>
      <c r="I72" s="35">
        <v>99</v>
      </c>
      <c r="J72" s="35">
        <v>1.43</v>
      </c>
      <c r="K72" s="35">
        <v>0</v>
      </c>
      <c r="L72" s="35">
        <v>3.2</v>
      </c>
      <c r="M72" s="35">
        <v>605023.87</v>
      </c>
      <c r="N72" s="35">
        <v>98545.81</v>
      </c>
    </row>
    <row r="73" spans="1:14">
      <c r="A73" s="35" t="s">
        <v>39</v>
      </c>
      <c r="B73" s="36">
        <v>45748</v>
      </c>
      <c r="C73" s="35" t="s">
        <v>15</v>
      </c>
      <c r="D73" s="35" t="s">
        <v>18</v>
      </c>
      <c r="E73" s="35">
        <v>55081.16</v>
      </c>
      <c r="F73" s="35">
        <v>5485</v>
      </c>
      <c r="G73" s="35">
        <v>3.5999999999999997E-2</v>
      </c>
      <c r="H73" s="35">
        <v>12</v>
      </c>
      <c r="I73" s="35">
        <v>88</v>
      </c>
      <c r="J73" s="35"/>
      <c r="K73" s="35">
        <v>0</v>
      </c>
      <c r="L73" s="35">
        <v>3.5</v>
      </c>
      <c r="M73" s="35">
        <v>674774.09</v>
      </c>
      <c r="N73" s="35">
        <v>141917.59</v>
      </c>
    </row>
    <row r="74" spans="1:14">
      <c r="A74" s="35" t="s">
        <v>40</v>
      </c>
      <c r="B74" s="36">
        <v>45658</v>
      </c>
      <c r="C74" s="35" t="s">
        <v>15</v>
      </c>
      <c r="D74" s="35" t="s">
        <v>16</v>
      </c>
      <c r="E74" s="35">
        <v>46201.46</v>
      </c>
      <c r="F74" s="35">
        <v>5918</v>
      </c>
      <c r="G74" s="35">
        <v>0.27700000000000002</v>
      </c>
      <c r="H74" s="35">
        <v>13</v>
      </c>
      <c r="I74" s="35">
        <v>78.8</v>
      </c>
      <c r="J74" s="35">
        <v>4.91</v>
      </c>
      <c r="K74" s="35">
        <v>0</v>
      </c>
      <c r="L74" s="35">
        <v>4.5</v>
      </c>
      <c r="M74" s="35">
        <v>616069.41</v>
      </c>
      <c r="N74" s="35">
        <v>54453.99</v>
      </c>
    </row>
    <row r="75" spans="1:14">
      <c r="A75" s="35" t="s">
        <v>40</v>
      </c>
      <c r="B75" s="36">
        <v>45689</v>
      </c>
      <c r="C75" s="35" t="s">
        <v>15</v>
      </c>
      <c r="D75" s="35" t="s">
        <v>16</v>
      </c>
      <c r="E75" s="35">
        <v>53762.92</v>
      </c>
      <c r="F75" s="35">
        <v>6821</v>
      </c>
      <c r="G75" s="35">
        <v>6.6000000000000003E-2</v>
      </c>
      <c r="H75" s="35">
        <v>19</v>
      </c>
      <c r="I75" s="35">
        <v>94.6</v>
      </c>
      <c r="J75" s="35">
        <v>7.03</v>
      </c>
      <c r="K75" s="35">
        <v>0</v>
      </c>
      <c r="L75" s="35">
        <v>4.4000000000000004</v>
      </c>
      <c r="M75" s="35">
        <v>630829.93999999994</v>
      </c>
      <c r="N75" s="35">
        <v>117090.02</v>
      </c>
    </row>
    <row r="76" spans="1:14">
      <c r="A76" s="35" t="s">
        <v>40</v>
      </c>
      <c r="B76" s="36">
        <v>45717</v>
      </c>
      <c r="C76" s="35" t="s">
        <v>15</v>
      </c>
      <c r="D76" s="35" t="s">
        <v>16</v>
      </c>
      <c r="E76" s="35">
        <v>70144.78</v>
      </c>
      <c r="F76" s="35">
        <v>6806</v>
      </c>
      <c r="G76" s="35">
        <v>0.17799999999999999</v>
      </c>
      <c r="H76" s="35">
        <v>20</v>
      </c>
      <c r="I76" s="35">
        <v>93.1</v>
      </c>
      <c r="J76" s="35">
        <v>0.28000000000000003</v>
      </c>
      <c r="K76" s="35">
        <v>1</v>
      </c>
      <c r="L76" s="35">
        <v>4.3</v>
      </c>
      <c r="M76" s="35">
        <v>788087.68</v>
      </c>
      <c r="N76" s="35">
        <v>116803.42</v>
      </c>
    </row>
    <row r="77" spans="1:14">
      <c r="A77" s="35" t="s">
        <v>40</v>
      </c>
      <c r="B77" s="36">
        <v>45748</v>
      </c>
      <c r="C77" s="35" t="s">
        <v>15</v>
      </c>
      <c r="D77" s="35" t="s">
        <v>16</v>
      </c>
      <c r="E77" s="35">
        <v>58749.63</v>
      </c>
      <c r="F77" s="35">
        <v>8252</v>
      </c>
      <c r="G77" s="35">
        <v>0.20300000000000001</v>
      </c>
      <c r="H77" s="35">
        <v>20</v>
      </c>
      <c r="I77" s="35">
        <v>85.2</v>
      </c>
      <c r="J77" s="35">
        <v>3.61</v>
      </c>
      <c r="K77" s="35">
        <v>0</v>
      </c>
      <c r="L77" s="35">
        <v>4.5</v>
      </c>
      <c r="M77" s="35">
        <v>680840.36</v>
      </c>
      <c r="N77" s="35">
        <v>68007.679999999993</v>
      </c>
    </row>
    <row r="78" spans="1:14">
      <c r="A78" s="35" t="s">
        <v>41</v>
      </c>
      <c r="B78" s="36">
        <v>45658</v>
      </c>
      <c r="C78" s="35" t="s">
        <v>24</v>
      </c>
      <c r="D78" s="35" t="s">
        <v>18</v>
      </c>
      <c r="E78" s="35">
        <v>56973.18</v>
      </c>
      <c r="F78" s="35">
        <v>6662</v>
      </c>
      <c r="G78" s="35">
        <v>0.1</v>
      </c>
      <c r="H78" s="35">
        <v>15</v>
      </c>
      <c r="I78" s="35">
        <v>77.7</v>
      </c>
      <c r="J78" s="35">
        <v>7.52</v>
      </c>
      <c r="K78" s="35">
        <v>1</v>
      </c>
      <c r="L78" s="35">
        <v>3.2</v>
      </c>
      <c r="M78" s="35">
        <v>643657.47</v>
      </c>
      <c r="N78" s="35">
        <v>87022.45</v>
      </c>
    </row>
    <row r="79" spans="1:14">
      <c r="A79" s="35" t="s">
        <v>41</v>
      </c>
      <c r="B79" s="36">
        <v>45689</v>
      </c>
      <c r="C79" s="35" t="s">
        <v>24</v>
      </c>
      <c r="D79" s="35" t="s">
        <v>18</v>
      </c>
      <c r="E79" s="35">
        <v>54872.82</v>
      </c>
      <c r="F79" s="35">
        <v>5962</v>
      </c>
      <c r="G79" s="35">
        <v>6.4000000000000001E-2</v>
      </c>
      <c r="H79" s="35">
        <v>12</v>
      </c>
      <c r="I79" s="35">
        <v>85.4</v>
      </c>
      <c r="J79" s="35">
        <v>2.58</v>
      </c>
      <c r="K79" s="35">
        <v>0</v>
      </c>
      <c r="L79" s="35">
        <v>2.9</v>
      </c>
      <c r="M79" s="35">
        <v>691112.6</v>
      </c>
      <c r="N79" s="35">
        <v>109212.83</v>
      </c>
    </row>
    <row r="80" spans="1:14">
      <c r="A80" s="35" t="s">
        <v>41</v>
      </c>
      <c r="B80" s="36">
        <v>45717</v>
      </c>
      <c r="C80" s="35" t="s">
        <v>24</v>
      </c>
      <c r="D80" s="35" t="s">
        <v>18</v>
      </c>
      <c r="E80" s="35">
        <v>80562.81</v>
      </c>
      <c r="F80" s="35">
        <v>7470</v>
      </c>
      <c r="G80" s="35">
        <v>0.17199999999999999</v>
      </c>
      <c r="H80" s="35">
        <v>16</v>
      </c>
      <c r="I80" s="35">
        <v>83.5</v>
      </c>
      <c r="J80" s="35">
        <v>2.29</v>
      </c>
      <c r="K80" s="35">
        <v>0</v>
      </c>
      <c r="L80" s="35">
        <v>3.3</v>
      </c>
      <c r="M80" s="35">
        <v>776922.17</v>
      </c>
      <c r="N80" s="35">
        <v>150701.93</v>
      </c>
    </row>
    <row r="81" spans="1:14">
      <c r="A81" s="35" t="s">
        <v>41</v>
      </c>
      <c r="B81" s="36">
        <v>45748</v>
      </c>
      <c r="C81" s="35" t="s">
        <v>24</v>
      </c>
      <c r="D81" s="35" t="s">
        <v>18</v>
      </c>
      <c r="E81" s="35">
        <v>77999.899999999994</v>
      </c>
      <c r="F81" s="35">
        <v>5974</v>
      </c>
      <c r="G81" s="35">
        <v>0.252</v>
      </c>
      <c r="H81" s="35">
        <v>14</v>
      </c>
      <c r="I81" s="35">
        <v>81.3</v>
      </c>
      <c r="J81" s="35">
        <v>2.39</v>
      </c>
      <c r="K81" s="35">
        <v>0</v>
      </c>
      <c r="L81" s="35">
        <v>3.2</v>
      </c>
      <c r="M81" s="35">
        <v>636561.34</v>
      </c>
      <c r="N81" s="35">
        <v>93861.06</v>
      </c>
    </row>
    <row r="82" spans="1:14">
      <c r="A82" s="35" t="s">
        <v>42</v>
      </c>
      <c r="B82" s="36">
        <v>45658</v>
      </c>
      <c r="C82" s="35" t="s">
        <v>27</v>
      </c>
      <c r="D82" s="35" t="s">
        <v>28</v>
      </c>
      <c r="E82" s="35">
        <v>60881.01</v>
      </c>
      <c r="F82" s="35">
        <v>5410</v>
      </c>
      <c r="G82" s="35">
        <v>0.17899999999999999</v>
      </c>
      <c r="H82" s="35">
        <v>15</v>
      </c>
      <c r="I82" s="35">
        <v>83.9</v>
      </c>
      <c r="J82" s="35">
        <v>5.24</v>
      </c>
      <c r="K82" s="35">
        <v>0</v>
      </c>
      <c r="L82" s="35">
        <v>4.5999999999999996</v>
      </c>
      <c r="M82" s="35">
        <v>621369.57999999996</v>
      </c>
      <c r="N82" s="35">
        <v>85493.64</v>
      </c>
    </row>
    <row r="83" spans="1:14">
      <c r="A83" s="35" t="s">
        <v>42</v>
      </c>
      <c r="B83" s="36">
        <v>45689</v>
      </c>
      <c r="C83" s="35" t="s">
        <v>27</v>
      </c>
      <c r="D83" s="35" t="s">
        <v>28</v>
      </c>
      <c r="E83" s="35">
        <v>60628.38</v>
      </c>
      <c r="F83" s="35">
        <v>4451</v>
      </c>
      <c r="G83" s="35">
        <v>9.5000000000000001E-2</v>
      </c>
      <c r="H83" s="35">
        <v>10</v>
      </c>
      <c r="I83" s="35">
        <v>89.6</v>
      </c>
      <c r="J83" s="35">
        <v>3.17</v>
      </c>
      <c r="K83" s="35">
        <v>0</v>
      </c>
      <c r="L83" s="35">
        <v>4.5999999999999996</v>
      </c>
      <c r="M83" s="35">
        <v>682208.01</v>
      </c>
      <c r="N83" s="35">
        <v>110318.84</v>
      </c>
    </row>
    <row r="84" spans="1:14">
      <c r="A84" s="35" t="s">
        <v>42</v>
      </c>
      <c r="B84" s="36">
        <v>45717</v>
      </c>
      <c r="C84" s="35" t="s">
        <v>27</v>
      </c>
      <c r="D84" s="35" t="s">
        <v>28</v>
      </c>
      <c r="E84" s="35">
        <v>72731.14</v>
      </c>
      <c r="F84" s="35">
        <v>4644</v>
      </c>
      <c r="G84" s="35">
        <v>8.4000000000000005E-2</v>
      </c>
      <c r="H84" s="35">
        <v>15</v>
      </c>
      <c r="I84" s="35">
        <v>87.1</v>
      </c>
      <c r="J84" s="35">
        <v>2.66</v>
      </c>
      <c r="K84" s="35">
        <v>0</v>
      </c>
      <c r="L84" s="35">
        <v>4.5999999999999996</v>
      </c>
      <c r="M84" s="35">
        <v>727241.86</v>
      </c>
      <c r="N84" s="35">
        <v>155810.29999999999</v>
      </c>
    </row>
    <row r="85" spans="1:14">
      <c r="A85" s="35" t="s">
        <v>42</v>
      </c>
      <c r="B85" s="36">
        <v>45748</v>
      </c>
      <c r="C85" s="35" t="s">
        <v>27</v>
      </c>
      <c r="D85" s="35" t="s">
        <v>28</v>
      </c>
      <c r="E85" s="35">
        <v>36475.71</v>
      </c>
      <c r="F85" s="35">
        <v>3559</v>
      </c>
      <c r="G85" s="35">
        <v>0.03</v>
      </c>
      <c r="H85" s="35">
        <v>8</v>
      </c>
      <c r="I85" s="35">
        <v>83.6</v>
      </c>
      <c r="J85" s="35">
        <v>1.41</v>
      </c>
      <c r="K85" s="35">
        <v>0</v>
      </c>
      <c r="L85" s="35">
        <v>4.2</v>
      </c>
      <c r="M85" s="35">
        <v>569100.78</v>
      </c>
      <c r="N85" s="35">
        <v>104808.78</v>
      </c>
    </row>
    <row r="86" spans="1:14">
      <c r="A86" s="35" t="s">
        <v>43</v>
      </c>
      <c r="B86" s="36">
        <v>45658</v>
      </c>
      <c r="C86" s="35" t="s">
        <v>27</v>
      </c>
      <c r="D86" s="35" t="s">
        <v>18</v>
      </c>
      <c r="E86" s="35">
        <v>55388.11</v>
      </c>
      <c r="F86" s="35">
        <v>3091</v>
      </c>
      <c r="G86" s="35">
        <v>0.108</v>
      </c>
      <c r="H86" s="35">
        <v>7</v>
      </c>
      <c r="I86" s="35">
        <v>85.4</v>
      </c>
      <c r="J86" s="35">
        <v>7.34</v>
      </c>
      <c r="K86" s="35">
        <v>0</v>
      </c>
      <c r="L86" s="35">
        <v>4.9000000000000004</v>
      </c>
      <c r="M86" s="35">
        <v>574436.29</v>
      </c>
      <c r="N86" s="35">
        <v>80271.990000000005</v>
      </c>
    </row>
    <row r="87" spans="1:14">
      <c r="A87" s="35" t="s">
        <v>43</v>
      </c>
      <c r="B87" s="36">
        <v>45689</v>
      </c>
      <c r="C87" s="35" t="s">
        <v>27</v>
      </c>
      <c r="D87" s="35" t="s">
        <v>18</v>
      </c>
      <c r="E87" s="35">
        <v>88443.77</v>
      </c>
      <c r="F87" s="35">
        <v>4004</v>
      </c>
      <c r="G87" s="35">
        <v>0.20599999999999999</v>
      </c>
      <c r="H87" s="35">
        <v>11</v>
      </c>
      <c r="I87" s="35">
        <v>91.9</v>
      </c>
      <c r="J87" s="35">
        <v>5.95</v>
      </c>
      <c r="K87" s="35">
        <v>0</v>
      </c>
      <c r="L87" s="35"/>
      <c r="M87" s="35">
        <v>611766.72</v>
      </c>
      <c r="N87" s="35">
        <v>88275.61</v>
      </c>
    </row>
    <row r="88" spans="1:14">
      <c r="A88" s="35" t="s">
        <v>43</v>
      </c>
      <c r="B88" s="36">
        <v>45717</v>
      </c>
      <c r="C88" s="35" t="s">
        <v>27</v>
      </c>
      <c r="D88" s="35" t="s">
        <v>18</v>
      </c>
      <c r="E88" s="35">
        <v>78231.91</v>
      </c>
      <c r="F88" s="35">
        <v>3788</v>
      </c>
      <c r="G88" s="35">
        <v>5.8999999999999997E-2</v>
      </c>
      <c r="H88" s="35">
        <v>11</v>
      </c>
      <c r="I88" s="35">
        <v>88.5</v>
      </c>
      <c r="J88" s="35">
        <v>15.51</v>
      </c>
      <c r="K88" s="35">
        <v>0</v>
      </c>
      <c r="L88" s="35">
        <v>4.3</v>
      </c>
      <c r="M88" s="35">
        <v>614596.31999999995</v>
      </c>
      <c r="N88" s="35">
        <v>131199.41</v>
      </c>
    </row>
    <row r="89" spans="1:14">
      <c r="A89" s="35" t="s">
        <v>43</v>
      </c>
      <c r="B89" s="36">
        <v>45748</v>
      </c>
      <c r="C89" s="35" t="s">
        <v>27</v>
      </c>
      <c r="D89" s="35" t="s">
        <v>18</v>
      </c>
      <c r="E89" s="35">
        <v>18996.32</v>
      </c>
      <c r="F89" s="35">
        <v>1260</v>
      </c>
      <c r="G89" s="35">
        <v>0.14499999999999999</v>
      </c>
      <c r="H89" s="35">
        <v>9</v>
      </c>
      <c r="I89" s="35">
        <v>86.4</v>
      </c>
      <c r="J89" s="35">
        <v>4.3099999999999996</v>
      </c>
      <c r="K89" s="35">
        <v>0</v>
      </c>
      <c r="L89" s="35">
        <v>4.5999999999999996</v>
      </c>
      <c r="M89" s="35">
        <v>450711.92</v>
      </c>
      <c r="N89" s="35">
        <v>90043.76</v>
      </c>
    </row>
    <row r="90" spans="1:14">
      <c r="A90" s="35" t="s">
        <v>44</v>
      </c>
      <c r="B90" s="36">
        <v>45658</v>
      </c>
      <c r="C90" s="35" t="s">
        <v>24</v>
      </c>
      <c r="D90" s="35" t="s">
        <v>28</v>
      </c>
      <c r="E90" s="35">
        <v>50517.94</v>
      </c>
      <c r="F90" s="35">
        <v>7024</v>
      </c>
      <c r="G90" s="35">
        <v>2.9000000000000001E-2</v>
      </c>
      <c r="H90" s="35">
        <v>18</v>
      </c>
      <c r="I90" s="35">
        <v>79.2</v>
      </c>
      <c r="J90" s="35">
        <v>6.61</v>
      </c>
      <c r="K90" s="35">
        <v>1</v>
      </c>
      <c r="L90" s="35">
        <v>4.0999999999999996</v>
      </c>
      <c r="M90" s="35">
        <v>711213.46</v>
      </c>
      <c r="N90" s="35">
        <v>105863.26</v>
      </c>
    </row>
    <row r="91" spans="1:14">
      <c r="A91" s="35" t="s">
        <v>44</v>
      </c>
      <c r="B91" s="36">
        <v>45689</v>
      </c>
      <c r="C91" s="35" t="s">
        <v>24</v>
      </c>
      <c r="D91" s="35" t="s">
        <v>28</v>
      </c>
      <c r="E91" s="35">
        <v>141540.29</v>
      </c>
      <c r="F91" s="35">
        <v>5400</v>
      </c>
      <c r="G91" s="35">
        <v>1.2999999999999999E-2</v>
      </c>
      <c r="H91" s="35">
        <v>12</v>
      </c>
      <c r="I91" s="35">
        <v>87</v>
      </c>
      <c r="J91" s="35">
        <v>4.26</v>
      </c>
      <c r="K91" s="35">
        <v>0</v>
      </c>
      <c r="L91" s="35">
        <v>4.5</v>
      </c>
      <c r="M91" s="35">
        <v>627171.9</v>
      </c>
      <c r="N91" s="35">
        <v>105772.75</v>
      </c>
    </row>
    <row r="92" spans="1:14">
      <c r="A92" s="35" t="s">
        <v>44</v>
      </c>
      <c r="B92" s="36">
        <v>45717</v>
      </c>
      <c r="C92" s="35" t="s">
        <v>24</v>
      </c>
      <c r="D92" s="35" t="s">
        <v>28</v>
      </c>
      <c r="E92" s="35">
        <v>82116.19</v>
      </c>
      <c r="F92" s="35">
        <v>5988</v>
      </c>
      <c r="G92" s="35">
        <v>0.04</v>
      </c>
      <c r="H92" s="35">
        <v>17</v>
      </c>
      <c r="I92" s="35">
        <v>91.8</v>
      </c>
      <c r="J92" s="35">
        <v>5.75</v>
      </c>
      <c r="K92" s="35">
        <v>0</v>
      </c>
      <c r="L92" s="35">
        <v>4.7</v>
      </c>
      <c r="M92" s="35">
        <v>739852.58</v>
      </c>
      <c r="N92" s="35">
        <v>129386.43</v>
      </c>
    </row>
    <row r="93" spans="1:14">
      <c r="A93" s="35" t="s">
        <v>44</v>
      </c>
      <c r="B93" s="36">
        <v>45748</v>
      </c>
      <c r="C93" s="35" t="s">
        <v>24</v>
      </c>
      <c r="D93" s="35" t="s">
        <v>28</v>
      </c>
      <c r="E93" s="35">
        <v>31207.51</v>
      </c>
      <c r="F93" s="35">
        <v>3701</v>
      </c>
      <c r="G93" s="35">
        <v>4.2999999999999997E-2</v>
      </c>
      <c r="H93" s="35">
        <v>11</v>
      </c>
      <c r="I93" s="35">
        <v>84.7</v>
      </c>
      <c r="J93" s="35">
        <v>0.33</v>
      </c>
      <c r="K93" s="35">
        <v>0</v>
      </c>
      <c r="L93" s="35">
        <v>4.3</v>
      </c>
      <c r="M93" s="35">
        <v>586307.22</v>
      </c>
      <c r="N93" s="35">
        <v>73927.850000000006</v>
      </c>
    </row>
    <row r="94" spans="1:14">
      <c r="A94" s="35" t="s">
        <v>45</v>
      </c>
      <c r="B94" s="36">
        <v>45658</v>
      </c>
      <c r="C94" s="35" t="s">
        <v>27</v>
      </c>
      <c r="D94" s="35" t="s">
        <v>16</v>
      </c>
      <c r="E94" s="35">
        <v>38966.589999999997</v>
      </c>
      <c r="F94" s="35">
        <v>4509</v>
      </c>
      <c r="G94" s="35">
        <v>0.19400000000000001</v>
      </c>
      <c r="H94" s="35">
        <v>14</v>
      </c>
      <c r="I94" s="35">
        <v>91.1</v>
      </c>
      <c r="J94" s="35">
        <v>2.92</v>
      </c>
      <c r="K94" s="35">
        <v>0</v>
      </c>
      <c r="L94" s="35">
        <v>4.5999999999999996</v>
      </c>
      <c r="M94" s="35">
        <v>585937.48</v>
      </c>
      <c r="N94" s="35">
        <v>82624.2</v>
      </c>
    </row>
    <row r="95" spans="1:14">
      <c r="A95" s="35" t="s">
        <v>45</v>
      </c>
      <c r="B95" s="36">
        <v>45689</v>
      </c>
      <c r="C95" s="35" t="s">
        <v>27</v>
      </c>
      <c r="D95" s="35" t="s">
        <v>16</v>
      </c>
      <c r="E95" s="35">
        <v>67439.3</v>
      </c>
      <c r="F95" s="35">
        <v>6477</v>
      </c>
      <c r="G95" s="35">
        <v>0</v>
      </c>
      <c r="H95" s="35">
        <v>16</v>
      </c>
      <c r="I95" s="35">
        <v>90.9</v>
      </c>
      <c r="J95" s="35">
        <v>1.64</v>
      </c>
      <c r="K95" s="35">
        <v>0</v>
      </c>
      <c r="L95" s="35">
        <v>4.5</v>
      </c>
      <c r="M95" s="35">
        <v>753473.55</v>
      </c>
      <c r="N95" s="35">
        <v>151527.22</v>
      </c>
    </row>
    <row r="96" spans="1:14">
      <c r="A96" s="35" t="s">
        <v>45</v>
      </c>
      <c r="B96" s="36">
        <v>45717</v>
      </c>
      <c r="C96" s="35" t="s">
        <v>27</v>
      </c>
      <c r="D96" s="35" t="s">
        <v>16</v>
      </c>
      <c r="E96" s="35">
        <v>86421.88</v>
      </c>
      <c r="F96" s="35">
        <v>7970</v>
      </c>
      <c r="G96" s="35">
        <v>7.2999999999999995E-2</v>
      </c>
      <c r="H96" s="35">
        <v>17</v>
      </c>
      <c r="I96" s="35">
        <v>91.3</v>
      </c>
      <c r="J96" s="35">
        <v>0.8</v>
      </c>
      <c r="K96" s="35">
        <v>0</v>
      </c>
      <c r="L96" s="35">
        <v>5</v>
      </c>
      <c r="M96" s="35">
        <v>838250.32</v>
      </c>
      <c r="N96" s="35">
        <v>122939.34</v>
      </c>
    </row>
    <row r="97" spans="1:14">
      <c r="A97" s="35" t="s">
        <v>45</v>
      </c>
      <c r="B97" s="36">
        <v>45748</v>
      </c>
      <c r="C97" s="35" t="s">
        <v>27</v>
      </c>
      <c r="D97" s="35" t="s">
        <v>16</v>
      </c>
      <c r="E97" s="35">
        <v>9534.65</v>
      </c>
      <c r="F97" s="35">
        <v>6057</v>
      </c>
      <c r="G97" s="35">
        <v>7.3999999999999996E-2</v>
      </c>
      <c r="H97" s="35">
        <v>15</v>
      </c>
      <c r="I97" s="35">
        <v>94.1</v>
      </c>
      <c r="J97" s="35">
        <v>5.79</v>
      </c>
      <c r="K97" s="35">
        <v>0</v>
      </c>
      <c r="L97" s="35">
        <v>4.5</v>
      </c>
      <c r="M97" s="35">
        <v>607898.12</v>
      </c>
      <c r="N97" s="35">
        <v>135404.85</v>
      </c>
    </row>
    <row r="98" spans="1:14">
      <c r="A98" s="35" t="s">
        <v>46</v>
      </c>
      <c r="B98" s="36">
        <v>45658</v>
      </c>
      <c r="C98" s="35" t="s">
        <v>27</v>
      </c>
      <c r="D98" s="35" t="s">
        <v>28</v>
      </c>
      <c r="E98" s="35">
        <v>61132.07</v>
      </c>
      <c r="F98" s="35">
        <v>6394</v>
      </c>
      <c r="G98" s="35">
        <v>0.16300000000000001</v>
      </c>
      <c r="H98" s="35">
        <v>19</v>
      </c>
      <c r="I98" s="35">
        <v>91</v>
      </c>
      <c r="J98" s="35">
        <v>19.600000000000001</v>
      </c>
      <c r="K98" s="35">
        <v>0</v>
      </c>
      <c r="L98" s="35">
        <v>4.4000000000000004</v>
      </c>
      <c r="M98" s="35">
        <v>691113.62</v>
      </c>
      <c r="N98" s="35">
        <v>135145.44</v>
      </c>
    </row>
    <row r="99" spans="1:14">
      <c r="A99" s="35" t="s">
        <v>46</v>
      </c>
      <c r="B99" s="36">
        <v>45689</v>
      </c>
      <c r="C99" s="35" t="s">
        <v>27</v>
      </c>
      <c r="D99" s="35" t="s">
        <v>28</v>
      </c>
      <c r="E99" s="35">
        <v>78839.39</v>
      </c>
      <c r="F99" s="35">
        <v>5150</v>
      </c>
      <c r="G99" s="35">
        <v>0.17100000000000001</v>
      </c>
      <c r="H99" s="35">
        <v>13</v>
      </c>
      <c r="I99" s="35">
        <v>85.8</v>
      </c>
      <c r="J99" s="35">
        <v>7.57</v>
      </c>
      <c r="K99" s="35">
        <v>0</v>
      </c>
      <c r="L99" s="35">
        <v>4.3</v>
      </c>
      <c r="M99" s="35">
        <v>735509.4</v>
      </c>
      <c r="N99" s="35">
        <v>83895.96</v>
      </c>
    </row>
    <row r="100" spans="1:14">
      <c r="A100" s="35" t="s">
        <v>46</v>
      </c>
      <c r="B100" s="36">
        <v>45717</v>
      </c>
      <c r="C100" s="35" t="s">
        <v>27</v>
      </c>
      <c r="D100" s="35" t="s">
        <v>28</v>
      </c>
      <c r="E100" s="35">
        <v>38752.800000000003</v>
      </c>
      <c r="F100" s="35">
        <v>4712</v>
      </c>
      <c r="G100" s="35">
        <v>7.4999999999999997E-2</v>
      </c>
      <c r="H100" s="35">
        <v>15</v>
      </c>
      <c r="I100" s="35">
        <v>89.7</v>
      </c>
      <c r="J100" s="35"/>
      <c r="K100" s="35">
        <v>0</v>
      </c>
      <c r="L100" s="35">
        <v>4.3</v>
      </c>
      <c r="M100" s="35">
        <v>605775.32999999996</v>
      </c>
      <c r="N100" s="35">
        <v>107194.6</v>
      </c>
    </row>
    <row r="101" spans="1:14">
      <c r="A101" s="35" t="s">
        <v>46</v>
      </c>
      <c r="B101" s="36">
        <v>45748</v>
      </c>
      <c r="C101" s="35" t="s">
        <v>27</v>
      </c>
      <c r="D101" s="35" t="s">
        <v>28</v>
      </c>
      <c r="E101" s="35">
        <v>55101.1</v>
      </c>
      <c r="F101" s="35">
        <v>5281</v>
      </c>
      <c r="G101" s="35">
        <v>0.189</v>
      </c>
      <c r="H101" s="35">
        <v>11</v>
      </c>
      <c r="I101" s="35">
        <v>91</v>
      </c>
      <c r="J101" s="35">
        <v>2.7</v>
      </c>
      <c r="K101" s="35">
        <v>0</v>
      </c>
      <c r="L101" s="35">
        <v>4.4000000000000004</v>
      </c>
      <c r="M101" s="35">
        <v>675177.68</v>
      </c>
      <c r="N101" s="35">
        <v>105628.68</v>
      </c>
    </row>
    <row r="102" spans="1:14">
      <c r="A102" s="35" t="s">
        <v>47</v>
      </c>
      <c r="B102" s="36">
        <v>45658</v>
      </c>
      <c r="C102" s="35" t="s">
        <v>15</v>
      </c>
      <c r="D102" s="35" t="s">
        <v>28</v>
      </c>
      <c r="E102" s="35">
        <v>53084.76</v>
      </c>
      <c r="F102" s="35">
        <v>3642</v>
      </c>
      <c r="G102" s="35">
        <v>0.15</v>
      </c>
      <c r="H102" s="35">
        <v>12</v>
      </c>
      <c r="I102" s="35">
        <v>91.4</v>
      </c>
      <c r="J102" s="35">
        <v>0.2</v>
      </c>
      <c r="K102" s="35">
        <v>0</v>
      </c>
      <c r="L102" s="35">
        <v>4.4000000000000004</v>
      </c>
      <c r="M102" s="35">
        <v>635181.35</v>
      </c>
      <c r="N102" s="35">
        <v>83341.25</v>
      </c>
    </row>
    <row r="103" spans="1:14">
      <c r="A103" s="35" t="s">
        <v>47</v>
      </c>
      <c r="B103" s="36">
        <v>45689</v>
      </c>
      <c r="C103" s="35" t="s">
        <v>15</v>
      </c>
      <c r="D103" s="35" t="s">
        <v>28</v>
      </c>
      <c r="E103" s="35">
        <v>63101.59</v>
      </c>
      <c r="F103" s="35">
        <v>4373</v>
      </c>
      <c r="G103" s="35">
        <v>0.17299999999999999</v>
      </c>
      <c r="H103" s="35">
        <v>14</v>
      </c>
      <c r="I103" s="35">
        <v>90.4</v>
      </c>
      <c r="J103" s="35">
        <v>7.87</v>
      </c>
      <c r="K103" s="35">
        <v>0</v>
      </c>
      <c r="L103" s="35">
        <v>4.7</v>
      </c>
      <c r="M103" s="35">
        <v>586626.93999999994</v>
      </c>
      <c r="N103" s="35">
        <v>86498.55</v>
      </c>
    </row>
    <row r="104" spans="1:14">
      <c r="A104" s="35" t="s">
        <v>47</v>
      </c>
      <c r="B104" s="36">
        <v>45717</v>
      </c>
      <c r="C104" s="35" t="s">
        <v>15</v>
      </c>
      <c r="D104" s="35" t="s">
        <v>28</v>
      </c>
      <c r="E104" s="35">
        <v>90084.4</v>
      </c>
      <c r="F104" s="35">
        <v>6832</v>
      </c>
      <c r="G104" s="35">
        <v>0.185</v>
      </c>
      <c r="H104" s="35">
        <v>14</v>
      </c>
      <c r="I104" s="35">
        <v>80.5</v>
      </c>
      <c r="J104" s="35">
        <v>0.77</v>
      </c>
      <c r="K104" s="35">
        <v>1</v>
      </c>
      <c r="L104" s="35">
        <v>4.4000000000000004</v>
      </c>
      <c r="M104" s="35">
        <v>740102.64</v>
      </c>
      <c r="N104" s="35">
        <v>114299.07</v>
      </c>
    </row>
    <row r="105" spans="1:14">
      <c r="A105" s="35" t="s">
        <v>47</v>
      </c>
      <c r="B105" s="36">
        <v>45748</v>
      </c>
      <c r="C105" s="35" t="s">
        <v>15</v>
      </c>
      <c r="D105" s="35" t="s">
        <v>28</v>
      </c>
      <c r="E105" s="35">
        <v>32266.639999999999</v>
      </c>
      <c r="F105" s="35">
        <v>2414</v>
      </c>
      <c r="G105" s="35">
        <v>0.08</v>
      </c>
      <c r="H105" s="35">
        <v>7</v>
      </c>
      <c r="I105" s="35">
        <v>92.1</v>
      </c>
      <c r="J105" s="35">
        <v>1.48</v>
      </c>
      <c r="K105" s="35">
        <v>0</v>
      </c>
      <c r="L105" s="35">
        <v>5</v>
      </c>
      <c r="M105" s="35">
        <v>625514.04</v>
      </c>
      <c r="N105" s="35">
        <v>120685.08</v>
      </c>
    </row>
    <row r="106" spans="1:14">
      <c r="A106" s="35" t="s">
        <v>48</v>
      </c>
      <c r="B106" s="36">
        <v>45658</v>
      </c>
      <c r="C106" s="35" t="s">
        <v>27</v>
      </c>
      <c r="D106" s="35" t="s">
        <v>18</v>
      </c>
      <c r="E106" s="35">
        <v>57919.07</v>
      </c>
      <c r="F106" s="35">
        <v>7374</v>
      </c>
      <c r="G106" s="35">
        <v>0.10299999999999999</v>
      </c>
      <c r="H106" s="35">
        <v>21</v>
      </c>
      <c r="I106" s="35">
        <v>82.3</v>
      </c>
      <c r="J106" s="35">
        <v>2.87</v>
      </c>
      <c r="K106" s="35">
        <v>0</v>
      </c>
      <c r="L106" s="35">
        <v>2.9</v>
      </c>
      <c r="M106" s="35">
        <v>727227.2</v>
      </c>
      <c r="N106" s="35">
        <v>121292.01</v>
      </c>
    </row>
    <row r="107" spans="1:14">
      <c r="A107" s="35" t="s">
        <v>48</v>
      </c>
      <c r="B107" s="36">
        <v>45689</v>
      </c>
      <c r="C107" s="35" t="s">
        <v>27</v>
      </c>
      <c r="D107" s="35" t="s">
        <v>18</v>
      </c>
      <c r="E107" s="35">
        <v>74679.350000000006</v>
      </c>
      <c r="F107" s="35">
        <v>8739</v>
      </c>
      <c r="G107" s="35">
        <v>5.6000000000000001E-2</v>
      </c>
      <c r="H107" s="35">
        <v>21</v>
      </c>
      <c r="I107" s="35">
        <v>91.8</v>
      </c>
      <c r="J107" s="35">
        <v>2.83</v>
      </c>
      <c r="K107" s="35">
        <v>0</v>
      </c>
      <c r="L107" s="35">
        <v>3</v>
      </c>
      <c r="M107" s="35">
        <v>783797.89</v>
      </c>
      <c r="N107" s="35">
        <v>157620.70000000001</v>
      </c>
    </row>
    <row r="108" spans="1:14">
      <c r="A108" s="35" t="s">
        <v>48</v>
      </c>
      <c r="B108" s="36">
        <v>45717</v>
      </c>
      <c r="C108" s="35" t="s">
        <v>27</v>
      </c>
      <c r="D108" s="35" t="s">
        <v>18</v>
      </c>
      <c r="E108" s="35">
        <v>64294.23</v>
      </c>
      <c r="F108" s="35">
        <v>6992</v>
      </c>
      <c r="G108" s="35">
        <v>0.13300000000000001</v>
      </c>
      <c r="H108" s="35">
        <v>14</v>
      </c>
      <c r="I108" s="35">
        <v>94.1</v>
      </c>
      <c r="J108" s="35">
        <v>0.25</v>
      </c>
      <c r="K108" s="35">
        <v>0</v>
      </c>
      <c r="L108" s="35">
        <v>3</v>
      </c>
      <c r="M108" s="35">
        <v>795153.84</v>
      </c>
      <c r="N108" s="35">
        <v>143194.21</v>
      </c>
    </row>
    <row r="109" spans="1:14">
      <c r="A109" s="35" t="s">
        <v>48</v>
      </c>
      <c r="B109" s="36">
        <v>45748</v>
      </c>
      <c r="C109" s="35" t="s">
        <v>27</v>
      </c>
      <c r="D109" s="35" t="s">
        <v>18</v>
      </c>
      <c r="E109" s="35">
        <v>31042.03</v>
      </c>
      <c r="F109" s="35">
        <v>7107</v>
      </c>
      <c r="G109" s="35">
        <v>5.0999999999999997E-2</v>
      </c>
      <c r="H109" s="35">
        <v>15</v>
      </c>
      <c r="I109" s="35">
        <v>87</v>
      </c>
      <c r="J109" s="35">
        <v>13.33</v>
      </c>
      <c r="K109" s="35">
        <v>0</v>
      </c>
      <c r="L109" s="35">
        <v>3.2</v>
      </c>
      <c r="M109" s="35">
        <v>665594.93999999994</v>
      </c>
      <c r="N109" s="35">
        <v>127597.34</v>
      </c>
    </row>
    <row r="110" spans="1:14">
      <c r="A110" s="35" t="s">
        <v>49</v>
      </c>
      <c r="B110" s="36">
        <v>45658</v>
      </c>
      <c r="C110" s="35" t="s">
        <v>15</v>
      </c>
      <c r="D110" s="35" t="s">
        <v>28</v>
      </c>
      <c r="E110" s="35">
        <v>75265.02</v>
      </c>
      <c r="F110" s="35">
        <v>6975</v>
      </c>
      <c r="G110" s="35">
        <v>0.157</v>
      </c>
      <c r="H110" s="35">
        <v>20</v>
      </c>
      <c r="I110" s="35">
        <v>73.8</v>
      </c>
      <c r="J110" s="35">
        <v>6.35</v>
      </c>
      <c r="K110" s="35">
        <v>1</v>
      </c>
      <c r="L110" s="35">
        <v>3.8</v>
      </c>
      <c r="M110" s="35">
        <v>709478.39</v>
      </c>
      <c r="N110" s="35">
        <v>71294.27</v>
      </c>
    </row>
    <row r="111" spans="1:14">
      <c r="A111" s="35" t="s">
        <v>49</v>
      </c>
      <c r="B111" s="36">
        <v>45689</v>
      </c>
      <c r="C111" s="35" t="s">
        <v>15</v>
      </c>
      <c r="D111" s="35" t="s">
        <v>28</v>
      </c>
      <c r="E111" s="35">
        <v>69411.7</v>
      </c>
      <c r="F111" s="35">
        <v>5493</v>
      </c>
      <c r="G111" s="35">
        <v>0.29199999999999998</v>
      </c>
      <c r="H111" s="35">
        <v>13</v>
      </c>
      <c r="I111" s="35">
        <v>86.5</v>
      </c>
      <c r="J111" s="35">
        <v>6.69</v>
      </c>
      <c r="K111" s="35">
        <v>0</v>
      </c>
      <c r="L111" s="35">
        <v>3.8</v>
      </c>
      <c r="M111" s="35">
        <v>664162.49</v>
      </c>
      <c r="N111" s="35">
        <v>98291.06</v>
      </c>
    </row>
    <row r="112" spans="1:14">
      <c r="A112" s="35" t="s">
        <v>49</v>
      </c>
      <c r="B112" s="36">
        <v>45717</v>
      </c>
      <c r="C112" s="35" t="s">
        <v>15</v>
      </c>
      <c r="D112" s="35" t="s">
        <v>28</v>
      </c>
      <c r="E112" s="35">
        <v>51056.15</v>
      </c>
      <c r="F112" s="35">
        <v>5686</v>
      </c>
      <c r="G112" s="35">
        <v>8.8999999999999996E-2</v>
      </c>
      <c r="H112" s="35">
        <v>13</v>
      </c>
      <c r="I112" s="35">
        <v>89.9</v>
      </c>
      <c r="J112" s="35">
        <v>1.28</v>
      </c>
      <c r="K112" s="35">
        <v>0</v>
      </c>
      <c r="L112" s="35">
        <v>4.2</v>
      </c>
      <c r="M112" s="35">
        <v>633494.21</v>
      </c>
      <c r="N112" s="35">
        <v>105739.47</v>
      </c>
    </row>
    <row r="113" spans="1:14">
      <c r="A113" s="35" t="s">
        <v>49</v>
      </c>
      <c r="B113" s="36">
        <v>45748</v>
      </c>
      <c r="C113" s="35" t="s">
        <v>15</v>
      </c>
      <c r="D113" s="35" t="s">
        <v>28</v>
      </c>
      <c r="E113" s="35">
        <v>52758.01</v>
      </c>
      <c r="F113" s="35">
        <v>4063</v>
      </c>
      <c r="G113" s="35">
        <v>5.7000000000000002E-2</v>
      </c>
      <c r="H113" s="35">
        <v>12</v>
      </c>
      <c r="I113" s="35">
        <v>91.7</v>
      </c>
      <c r="J113" s="35">
        <v>0.92</v>
      </c>
      <c r="K113" s="35">
        <v>0</v>
      </c>
      <c r="L113" s="35">
        <v>3.5</v>
      </c>
      <c r="M113" s="35">
        <v>713611.16</v>
      </c>
      <c r="N113" s="35">
        <v>129717.18</v>
      </c>
    </row>
    <row r="114" spans="1:14">
      <c r="A114" s="35" t="s">
        <v>50</v>
      </c>
      <c r="B114" s="36">
        <v>45658</v>
      </c>
      <c r="C114" s="35" t="s">
        <v>27</v>
      </c>
      <c r="D114" s="35" t="s">
        <v>28</v>
      </c>
      <c r="E114" s="35">
        <v>61426.04</v>
      </c>
      <c r="F114" s="35">
        <v>8966</v>
      </c>
      <c r="G114" s="35">
        <v>0.17299999999999999</v>
      </c>
      <c r="H114" s="35">
        <v>22</v>
      </c>
      <c r="I114" s="35">
        <v>76.400000000000006</v>
      </c>
      <c r="J114" s="35">
        <v>1.05</v>
      </c>
      <c r="K114" s="35">
        <v>0</v>
      </c>
      <c r="L114" s="35">
        <v>3.1</v>
      </c>
      <c r="M114" s="35">
        <v>778397.97</v>
      </c>
      <c r="N114" s="35">
        <v>120044.41</v>
      </c>
    </row>
    <row r="115" spans="1:14">
      <c r="A115" s="35" t="s">
        <v>50</v>
      </c>
      <c r="B115" s="36">
        <v>45689</v>
      </c>
      <c r="C115" s="35" t="s">
        <v>27</v>
      </c>
      <c r="D115" s="35" t="s">
        <v>28</v>
      </c>
      <c r="E115" s="35">
        <v>80176.34</v>
      </c>
      <c r="F115" s="35">
        <v>9489</v>
      </c>
      <c r="G115" s="35">
        <v>0.14199999999999999</v>
      </c>
      <c r="H115" s="35">
        <v>22</v>
      </c>
      <c r="I115" s="35">
        <v>94.3</v>
      </c>
      <c r="J115" s="35">
        <v>2.67</v>
      </c>
      <c r="K115" s="35">
        <v>0</v>
      </c>
      <c r="L115" s="35">
        <v>3.5</v>
      </c>
      <c r="M115" s="35">
        <v>873380.02</v>
      </c>
      <c r="N115" s="35">
        <v>149734.76</v>
      </c>
    </row>
    <row r="116" spans="1:14">
      <c r="A116" s="35" t="s">
        <v>50</v>
      </c>
      <c r="B116" s="36">
        <v>45717</v>
      </c>
      <c r="C116" s="35" t="s">
        <v>27</v>
      </c>
      <c r="D116" s="35" t="s">
        <v>28</v>
      </c>
      <c r="E116" s="35">
        <v>33605.18</v>
      </c>
      <c r="F116" s="35">
        <v>9225</v>
      </c>
      <c r="G116" s="35">
        <v>0.159</v>
      </c>
      <c r="H116" s="35">
        <v>23</v>
      </c>
      <c r="I116" s="35">
        <v>88.4</v>
      </c>
      <c r="J116" s="35">
        <v>5.91</v>
      </c>
      <c r="K116" s="35">
        <v>0</v>
      </c>
      <c r="L116" s="35">
        <v>2.8</v>
      </c>
      <c r="M116" s="35">
        <v>697287.9</v>
      </c>
      <c r="N116" s="35">
        <v>128208.33</v>
      </c>
    </row>
    <row r="117" spans="1:14">
      <c r="A117" s="35" t="s">
        <v>50</v>
      </c>
      <c r="B117" s="36">
        <v>45748</v>
      </c>
      <c r="C117" s="35" t="s">
        <v>27</v>
      </c>
      <c r="D117" s="35" t="s">
        <v>28</v>
      </c>
      <c r="E117" s="35">
        <v>25990.54</v>
      </c>
      <c r="F117" s="35">
        <v>9249</v>
      </c>
      <c r="G117" s="35">
        <v>0.13900000000000001</v>
      </c>
      <c r="H117" s="35">
        <v>23</v>
      </c>
      <c r="I117" s="35">
        <v>92.5</v>
      </c>
      <c r="J117" s="35">
        <v>6.37</v>
      </c>
      <c r="K117" s="35">
        <v>0</v>
      </c>
      <c r="L117" s="35">
        <v>3.3</v>
      </c>
      <c r="M117" s="35">
        <v>718074.79</v>
      </c>
      <c r="N117" s="35">
        <v>115819.87</v>
      </c>
    </row>
    <row r="118" spans="1:14">
      <c r="A118" s="35" t="s">
        <v>51</v>
      </c>
      <c r="B118" s="36">
        <v>45658</v>
      </c>
      <c r="C118" s="35" t="s">
        <v>27</v>
      </c>
      <c r="D118" s="35" t="s">
        <v>16</v>
      </c>
      <c r="E118" s="35">
        <v>43685.14</v>
      </c>
      <c r="F118" s="35">
        <v>7821</v>
      </c>
      <c r="G118" s="35">
        <v>0.19</v>
      </c>
      <c r="H118" s="35">
        <v>17</v>
      </c>
      <c r="I118" s="35">
        <v>91</v>
      </c>
      <c r="J118" s="35">
        <v>2.4900000000000002</v>
      </c>
      <c r="K118" s="35">
        <v>1</v>
      </c>
      <c r="L118" s="35">
        <v>4.7</v>
      </c>
      <c r="M118" s="35">
        <v>714942.43</v>
      </c>
      <c r="N118" s="35">
        <v>94697.71</v>
      </c>
    </row>
    <row r="119" spans="1:14">
      <c r="A119" s="35" t="s">
        <v>51</v>
      </c>
      <c r="B119" s="36">
        <v>45689</v>
      </c>
      <c r="C119" s="35" t="s">
        <v>27</v>
      </c>
      <c r="D119" s="35" t="s">
        <v>16</v>
      </c>
      <c r="E119" s="35">
        <v>57360.01</v>
      </c>
      <c r="F119" s="35">
        <v>8434</v>
      </c>
      <c r="G119" s="35">
        <v>0.151</v>
      </c>
      <c r="H119" s="35">
        <v>19</v>
      </c>
      <c r="I119" s="35">
        <v>84.1</v>
      </c>
      <c r="J119" s="35">
        <v>1.56</v>
      </c>
      <c r="K119" s="35">
        <v>0</v>
      </c>
      <c r="L119" s="35">
        <v>4.7</v>
      </c>
      <c r="M119" s="35">
        <v>820519.04</v>
      </c>
      <c r="N119" s="35">
        <v>99035.88</v>
      </c>
    </row>
    <row r="120" spans="1:14">
      <c r="A120" s="35" t="s">
        <v>51</v>
      </c>
      <c r="B120" s="36">
        <v>45717</v>
      </c>
      <c r="C120" s="35" t="s">
        <v>27</v>
      </c>
      <c r="D120" s="35" t="s">
        <v>16</v>
      </c>
      <c r="E120" s="35">
        <v>42415.47</v>
      </c>
      <c r="F120" s="35">
        <v>8512</v>
      </c>
      <c r="G120" s="35">
        <v>0.13300000000000001</v>
      </c>
      <c r="H120" s="35">
        <v>18</v>
      </c>
      <c r="I120" s="35">
        <v>96.8</v>
      </c>
      <c r="J120" s="35">
        <v>14.95</v>
      </c>
      <c r="K120" s="35">
        <v>0</v>
      </c>
      <c r="L120" s="35">
        <v>4.5999999999999996</v>
      </c>
      <c r="M120" s="35">
        <v>684217.32</v>
      </c>
      <c r="N120" s="35">
        <v>136217.19</v>
      </c>
    </row>
    <row r="121" spans="1:14">
      <c r="A121" s="35" t="s">
        <v>51</v>
      </c>
      <c r="B121" s="36">
        <v>45748</v>
      </c>
      <c r="C121" s="35" t="s">
        <v>27</v>
      </c>
      <c r="D121" s="35" t="s">
        <v>16</v>
      </c>
      <c r="E121" s="35">
        <v>54968.98</v>
      </c>
      <c r="F121" s="35">
        <v>7816</v>
      </c>
      <c r="G121" s="35">
        <v>0.23200000000000001</v>
      </c>
      <c r="H121" s="35">
        <v>19</v>
      </c>
      <c r="I121" s="35">
        <v>95.7</v>
      </c>
      <c r="J121" s="35">
        <v>7.85</v>
      </c>
      <c r="K121" s="35">
        <v>0</v>
      </c>
      <c r="L121" s="35">
        <v>4.7</v>
      </c>
      <c r="M121" s="35">
        <v>735480.19</v>
      </c>
      <c r="N121" s="35">
        <v>88342.11</v>
      </c>
    </row>
    <row r="122" spans="1:14">
      <c r="A122" s="35" t="s">
        <v>52</v>
      </c>
      <c r="B122" s="36">
        <v>45658</v>
      </c>
      <c r="C122" s="35" t="s">
        <v>20</v>
      </c>
      <c r="D122" s="35" t="s">
        <v>18</v>
      </c>
      <c r="E122" s="35">
        <v>43896.13</v>
      </c>
      <c r="F122" s="35">
        <v>3853</v>
      </c>
      <c r="G122" s="35">
        <v>8.7999999999999995E-2</v>
      </c>
      <c r="H122" s="35">
        <v>13</v>
      </c>
      <c r="I122" s="35">
        <v>83</v>
      </c>
      <c r="J122" s="35">
        <v>6.8</v>
      </c>
      <c r="K122" s="35">
        <v>0</v>
      </c>
      <c r="L122" s="35">
        <v>4.4000000000000004</v>
      </c>
      <c r="M122" s="35">
        <v>509484.81</v>
      </c>
      <c r="N122" s="35">
        <v>85742.36</v>
      </c>
    </row>
    <row r="123" spans="1:14">
      <c r="A123" s="35" t="s">
        <v>52</v>
      </c>
      <c r="B123" s="36">
        <v>45689</v>
      </c>
      <c r="C123" s="35" t="s">
        <v>20</v>
      </c>
      <c r="D123" s="35" t="s">
        <v>18</v>
      </c>
      <c r="E123" s="35">
        <v>83044.17</v>
      </c>
      <c r="F123" s="35">
        <v>3694</v>
      </c>
      <c r="G123" s="35">
        <v>0</v>
      </c>
      <c r="H123" s="35">
        <v>14</v>
      </c>
      <c r="I123" s="35">
        <v>89.4</v>
      </c>
      <c r="J123" s="35">
        <v>2.2000000000000002</v>
      </c>
      <c r="K123" s="35">
        <v>0</v>
      </c>
      <c r="L123" s="35">
        <v>3.7</v>
      </c>
      <c r="M123" s="35">
        <v>654317.09</v>
      </c>
      <c r="N123" s="35">
        <v>121446.89</v>
      </c>
    </row>
    <row r="124" spans="1:14">
      <c r="A124" s="35" t="s">
        <v>52</v>
      </c>
      <c r="B124" s="36">
        <v>45717</v>
      </c>
      <c r="C124" s="35" t="s">
        <v>20</v>
      </c>
      <c r="D124" s="35" t="s">
        <v>18</v>
      </c>
      <c r="E124" s="35">
        <v>48396.13</v>
      </c>
      <c r="F124" s="35">
        <v>4423</v>
      </c>
      <c r="G124" s="35">
        <v>6.9000000000000006E-2</v>
      </c>
      <c r="H124" s="35">
        <v>15</v>
      </c>
      <c r="I124" s="35">
        <v>85.7</v>
      </c>
      <c r="J124" s="35">
        <v>1.88</v>
      </c>
      <c r="K124" s="35">
        <v>0</v>
      </c>
      <c r="L124" s="35">
        <v>3.9</v>
      </c>
      <c r="M124" s="35">
        <v>557487.26</v>
      </c>
      <c r="N124" s="35">
        <v>76432.19</v>
      </c>
    </row>
    <row r="125" spans="1:14">
      <c r="A125" s="35" t="s">
        <v>52</v>
      </c>
      <c r="B125" s="36">
        <v>45748</v>
      </c>
      <c r="C125" s="35" t="s">
        <v>20</v>
      </c>
      <c r="D125" s="35" t="s">
        <v>18</v>
      </c>
      <c r="E125" s="35">
        <v>19063.48</v>
      </c>
      <c r="F125" s="35">
        <v>1906</v>
      </c>
      <c r="G125" s="35">
        <v>0.216</v>
      </c>
      <c r="H125" s="35">
        <v>10</v>
      </c>
      <c r="I125" s="35">
        <v>97.8</v>
      </c>
      <c r="J125" s="35">
        <v>15.79</v>
      </c>
      <c r="K125" s="35">
        <v>0</v>
      </c>
      <c r="L125" s="35">
        <v>4.4000000000000004</v>
      </c>
      <c r="M125" s="35">
        <v>441275.42</v>
      </c>
      <c r="N125" s="35">
        <v>58234.87</v>
      </c>
    </row>
    <row r="126" spans="1:14">
      <c r="A126" s="35" t="s">
        <v>53</v>
      </c>
      <c r="B126" s="36">
        <v>45658</v>
      </c>
      <c r="C126" s="35" t="s">
        <v>24</v>
      </c>
      <c r="D126" s="35" t="s">
        <v>18</v>
      </c>
      <c r="E126" s="35">
        <v>61541.21</v>
      </c>
      <c r="F126" s="35">
        <v>10396</v>
      </c>
      <c r="G126" s="35">
        <v>0.123</v>
      </c>
      <c r="H126" s="35">
        <v>25</v>
      </c>
      <c r="I126" s="35">
        <v>88.1</v>
      </c>
      <c r="J126" s="35">
        <v>2.34</v>
      </c>
      <c r="K126" s="35">
        <v>1</v>
      </c>
      <c r="L126" s="35">
        <v>4.8</v>
      </c>
      <c r="M126" s="35">
        <v>914544.17</v>
      </c>
      <c r="N126" s="35">
        <v>79831.73</v>
      </c>
    </row>
    <row r="127" spans="1:14">
      <c r="A127" s="35" t="s">
        <v>53</v>
      </c>
      <c r="B127" s="36">
        <v>45689</v>
      </c>
      <c r="C127" s="35" t="s">
        <v>24</v>
      </c>
      <c r="D127" s="35" t="s">
        <v>18</v>
      </c>
      <c r="E127" s="35">
        <v>44747</v>
      </c>
      <c r="F127" s="35">
        <v>11076</v>
      </c>
      <c r="G127" s="35">
        <v>0.17599999999999999</v>
      </c>
      <c r="H127" s="35">
        <v>27</v>
      </c>
      <c r="I127" s="35">
        <v>98.3</v>
      </c>
      <c r="J127" s="35">
        <v>0.54</v>
      </c>
      <c r="K127" s="35">
        <v>0</v>
      </c>
      <c r="L127" s="35">
        <v>4.4000000000000004</v>
      </c>
      <c r="M127" s="35">
        <v>842439.67</v>
      </c>
      <c r="N127" s="35">
        <v>169983.63</v>
      </c>
    </row>
    <row r="128" spans="1:14">
      <c r="A128" s="35" t="s">
        <v>53</v>
      </c>
      <c r="B128" s="36">
        <v>45717</v>
      </c>
      <c r="C128" s="35" t="s">
        <v>24</v>
      </c>
      <c r="D128" s="35" t="s">
        <v>18</v>
      </c>
      <c r="E128" s="35">
        <v>56517.9</v>
      </c>
      <c r="F128" s="35">
        <v>9574</v>
      </c>
      <c r="G128" s="35">
        <v>0.20399999999999999</v>
      </c>
      <c r="H128" s="35">
        <v>20</v>
      </c>
      <c r="I128" s="35">
        <v>88.2</v>
      </c>
      <c r="J128" s="35">
        <v>5.37</v>
      </c>
      <c r="K128" s="35">
        <v>1</v>
      </c>
      <c r="L128" s="35">
        <v>4.9000000000000004</v>
      </c>
      <c r="M128" s="35">
        <v>842157.92</v>
      </c>
      <c r="N128" s="35">
        <v>107348.22</v>
      </c>
    </row>
    <row r="129" spans="1:14">
      <c r="A129" s="35" t="s">
        <v>53</v>
      </c>
      <c r="B129" s="36">
        <v>45748</v>
      </c>
      <c r="C129" s="35" t="s">
        <v>24</v>
      </c>
      <c r="D129" s="35" t="s">
        <v>18</v>
      </c>
      <c r="E129" s="35">
        <v>37828.5</v>
      </c>
      <c r="F129" s="35">
        <v>8221</v>
      </c>
      <c r="G129" s="35">
        <v>9.6000000000000002E-2</v>
      </c>
      <c r="H129" s="35">
        <v>19</v>
      </c>
      <c r="I129" s="35">
        <v>81.5</v>
      </c>
      <c r="J129" s="35">
        <v>3.19</v>
      </c>
      <c r="K129" s="35">
        <v>0</v>
      </c>
      <c r="L129" s="35">
        <v>4.8</v>
      </c>
      <c r="M129" s="35">
        <v>697155.3</v>
      </c>
      <c r="N129" s="35">
        <v>136408.54</v>
      </c>
    </row>
    <row r="130" spans="1:14">
      <c r="A130" s="35" t="s">
        <v>54</v>
      </c>
      <c r="B130" s="36">
        <v>45658</v>
      </c>
      <c r="C130" s="35" t="s">
        <v>15</v>
      </c>
      <c r="D130" s="35" t="s">
        <v>18</v>
      </c>
      <c r="E130" s="35">
        <v>66250.53</v>
      </c>
      <c r="F130" s="35">
        <v>10618</v>
      </c>
      <c r="G130" s="35">
        <v>0.14199999999999999</v>
      </c>
      <c r="H130" s="35">
        <v>27</v>
      </c>
      <c r="I130" s="35">
        <v>88.3</v>
      </c>
      <c r="J130" s="35">
        <v>1.1000000000000001</v>
      </c>
      <c r="K130" s="35">
        <v>1</v>
      </c>
      <c r="L130" s="35">
        <v>4.4000000000000004</v>
      </c>
      <c r="M130" s="35">
        <v>849018.3</v>
      </c>
      <c r="N130" s="35">
        <v>149035.13</v>
      </c>
    </row>
    <row r="131" spans="1:14">
      <c r="A131" s="35" t="s">
        <v>54</v>
      </c>
      <c r="B131" s="36">
        <v>45689</v>
      </c>
      <c r="C131" s="35" t="s">
        <v>15</v>
      </c>
      <c r="D131" s="35" t="s">
        <v>18</v>
      </c>
      <c r="E131" s="35">
        <v>68410.929999999993</v>
      </c>
      <c r="F131" s="35">
        <v>10596</v>
      </c>
      <c r="G131" s="35">
        <v>0.20699999999999999</v>
      </c>
      <c r="H131" s="35">
        <v>25</v>
      </c>
      <c r="I131" s="35">
        <v>81.2</v>
      </c>
      <c r="J131" s="35">
        <v>0.21</v>
      </c>
      <c r="K131" s="35">
        <v>0</v>
      </c>
      <c r="L131" s="35">
        <v>4</v>
      </c>
      <c r="M131" s="35">
        <v>801830.35</v>
      </c>
      <c r="N131" s="35">
        <v>114875.32</v>
      </c>
    </row>
    <row r="132" spans="1:14">
      <c r="A132" s="35" t="s">
        <v>54</v>
      </c>
      <c r="B132" s="36">
        <v>45717</v>
      </c>
      <c r="C132" s="35" t="s">
        <v>15</v>
      </c>
      <c r="D132" s="35" t="s">
        <v>18</v>
      </c>
      <c r="E132" s="35">
        <v>50735.63</v>
      </c>
      <c r="F132" s="35">
        <v>9619</v>
      </c>
      <c r="G132" s="35">
        <v>0.14399999999999999</v>
      </c>
      <c r="H132" s="35">
        <v>19</v>
      </c>
      <c r="I132" s="35">
        <v>93.8</v>
      </c>
      <c r="J132" s="35">
        <v>5.12</v>
      </c>
      <c r="K132" s="35">
        <v>1</v>
      </c>
      <c r="L132" s="35">
        <v>4.5</v>
      </c>
      <c r="M132" s="35">
        <v>725235.28</v>
      </c>
      <c r="N132" s="35">
        <v>121632.24</v>
      </c>
    </row>
    <row r="133" spans="1:14">
      <c r="A133" s="35" t="s">
        <v>54</v>
      </c>
      <c r="B133" s="36">
        <v>45748</v>
      </c>
      <c r="C133" s="35" t="s">
        <v>15</v>
      </c>
      <c r="D133" s="35" t="s">
        <v>18</v>
      </c>
      <c r="E133" s="35">
        <v>66455.8</v>
      </c>
      <c r="F133" s="35">
        <v>10836</v>
      </c>
      <c r="G133" s="35">
        <v>8.8999999999999996E-2</v>
      </c>
      <c r="H133" s="35">
        <v>25</v>
      </c>
      <c r="I133" s="35">
        <v>85</v>
      </c>
      <c r="J133" s="35">
        <v>9.77</v>
      </c>
      <c r="K133" s="35">
        <v>0</v>
      </c>
      <c r="L133" s="35">
        <v>4.5</v>
      </c>
      <c r="M133" s="35">
        <v>811452.72</v>
      </c>
      <c r="N133" s="35">
        <v>131325.67000000001</v>
      </c>
    </row>
    <row r="134" spans="1:14">
      <c r="A134" s="35" t="s">
        <v>55</v>
      </c>
      <c r="B134" s="36">
        <v>45658</v>
      </c>
      <c r="C134" s="35" t="s">
        <v>20</v>
      </c>
      <c r="D134" s="35" t="s">
        <v>18</v>
      </c>
      <c r="E134" s="35">
        <v>70276.28</v>
      </c>
      <c r="F134" s="35">
        <v>3043</v>
      </c>
      <c r="G134" s="35">
        <v>7.9000000000000001E-2</v>
      </c>
      <c r="H134" s="35">
        <v>9</v>
      </c>
      <c r="I134" s="35">
        <v>87.9</v>
      </c>
      <c r="J134" s="35">
        <v>3.77</v>
      </c>
      <c r="K134" s="35">
        <v>0</v>
      </c>
      <c r="L134" s="35">
        <v>4.4000000000000004</v>
      </c>
      <c r="M134" s="35">
        <v>527300.13</v>
      </c>
      <c r="N134" s="35">
        <v>84197.87</v>
      </c>
    </row>
    <row r="135" spans="1:14">
      <c r="A135" s="35" t="s">
        <v>55</v>
      </c>
      <c r="B135" s="36">
        <v>45689</v>
      </c>
      <c r="C135" s="35" t="s">
        <v>20</v>
      </c>
      <c r="D135" s="35" t="s">
        <v>18</v>
      </c>
      <c r="E135" s="35">
        <v>22071.64</v>
      </c>
      <c r="F135" s="35">
        <v>1814</v>
      </c>
      <c r="G135" s="35">
        <v>0.19600000000000001</v>
      </c>
      <c r="H135" s="35">
        <v>8</v>
      </c>
      <c r="I135" s="35">
        <v>81.099999999999994</v>
      </c>
      <c r="J135" s="35">
        <v>0.78</v>
      </c>
      <c r="K135" s="35">
        <v>0</v>
      </c>
      <c r="L135" s="35"/>
      <c r="M135" s="35">
        <v>400831.65</v>
      </c>
      <c r="N135" s="35">
        <v>70979.31</v>
      </c>
    </row>
    <row r="136" spans="1:14">
      <c r="A136" s="35" t="s">
        <v>55</v>
      </c>
      <c r="B136" s="36">
        <v>45717</v>
      </c>
      <c r="C136" s="35" t="s">
        <v>20</v>
      </c>
      <c r="D136" s="35" t="s">
        <v>18</v>
      </c>
      <c r="E136" s="35">
        <v>52285.45</v>
      </c>
      <c r="F136" s="35">
        <v>3618</v>
      </c>
      <c r="G136" s="35">
        <v>8.5999999999999993E-2</v>
      </c>
      <c r="H136" s="35">
        <v>11</v>
      </c>
      <c r="I136" s="35">
        <v>95.6</v>
      </c>
      <c r="J136" s="35">
        <v>5.17</v>
      </c>
      <c r="K136" s="35">
        <v>1</v>
      </c>
      <c r="L136" s="35">
        <v>4.4000000000000004</v>
      </c>
      <c r="M136" s="35">
        <v>593247.25</v>
      </c>
      <c r="N136" s="35">
        <v>81240.289999999994</v>
      </c>
    </row>
    <row r="137" spans="1:14">
      <c r="A137" s="35" t="s">
        <v>55</v>
      </c>
      <c r="B137" s="36">
        <v>45748</v>
      </c>
      <c r="C137" s="35" t="s">
        <v>20</v>
      </c>
      <c r="D137" s="35" t="s">
        <v>18</v>
      </c>
      <c r="E137" s="35">
        <v>70366.759999999995</v>
      </c>
      <c r="F137" s="35">
        <v>1963</v>
      </c>
      <c r="G137" s="35">
        <v>0.182</v>
      </c>
      <c r="H137" s="35">
        <v>8</v>
      </c>
      <c r="I137" s="35">
        <v>89.8</v>
      </c>
      <c r="J137" s="35">
        <v>3.2</v>
      </c>
      <c r="K137" s="35">
        <v>0</v>
      </c>
      <c r="L137" s="35">
        <v>4.5999999999999996</v>
      </c>
      <c r="M137" s="35">
        <v>529075.94999999995</v>
      </c>
      <c r="N137" s="35">
        <v>95978.83</v>
      </c>
    </row>
    <row r="138" spans="1:14">
      <c r="A138" s="35" t="s">
        <v>56</v>
      </c>
      <c r="B138" s="36">
        <v>45658</v>
      </c>
      <c r="C138" s="35" t="s">
        <v>24</v>
      </c>
      <c r="D138" s="35" t="s">
        <v>16</v>
      </c>
      <c r="E138" s="35">
        <v>71320.66</v>
      </c>
      <c r="F138" s="35">
        <v>7888</v>
      </c>
      <c r="G138" s="35">
        <v>4.8000000000000001E-2</v>
      </c>
      <c r="H138" s="35">
        <v>20</v>
      </c>
      <c r="I138" s="35">
        <v>78.099999999999994</v>
      </c>
      <c r="J138" s="35">
        <v>3.4</v>
      </c>
      <c r="K138" s="35">
        <v>0</v>
      </c>
      <c r="L138" s="35"/>
      <c r="M138" s="35">
        <v>633638.03</v>
      </c>
      <c r="N138" s="35">
        <v>99402.01</v>
      </c>
    </row>
    <row r="139" spans="1:14">
      <c r="A139" s="35" t="s">
        <v>56</v>
      </c>
      <c r="B139" s="36">
        <v>45689</v>
      </c>
      <c r="C139" s="35" t="s">
        <v>24</v>
      </c>
      <c r="D139" s="35" t="s">
        <v>16</v>
      </c>
      <c r="E139" s="35">
        <v>75109.67</v>
      </c>
      <c r="F139" s="35">
        <v>6244</v>
      </c>
      <c r="G139" s="35">
        <v>7.9000000000000001E-2</v>
      </c>
      <c r="H139" s="35">
        <v>15</v>
      </c>
      <c r="I139" s="35">
        <v>96.3</v>
      </c>
      <c r="J139" s="35">
        <v>7.38</v>
      </c>
      <c r="K139" s="35">
        <v>0</v>
      </c>
      <c r="L139" s="35">
        <v>3.7</v>
      </c>
      <c r="M139" s="35">
        <v>743348.84</v>
      </c>
      <c r="N139" s="35">
        <v>104186.09</v>
      </c>
    </row>
    <row r="140" spans="1:14">
      <c r="A140" s="35" t="s">
        <v>56</v>
      </c>
      <c r="B140" s="36">
        <v>45717</v>
      </c>
      <c r="C140" s="35" t="s">
        <v>24</v>
      </c>
      <c r="D140" s="35" t="s">
        <v>16</v>
      </c>
      <c r="E140" s="35">
        <v>69779</v>
      </c>
      <c r="F140" s="35">
        <v>6544</v>
      </c>
      <c r="G140" s="35">
        <v>0.152</v>
      </c>
      <c r="H140" s="35">
        <v>18</v>
      </c>
      <c r="I140" s="35">
        <v>90.2</v>
      </c>
      <c r="J140" s="35">
        <v>0.85</v>
      </c>
      <c r="K140" s="35">
        <v>1</v>
      </c>
      <c r="L140" s="35">
        <v>3.3</v>
      </c>
      <c r="M140" s="35">
        <v>758827.64</v>
      </c>
      <c r="N140" s="35">
        <v>161439.48000000001</v>
      </c>
    </row>
    <row r="141" spans="1:14">
      <c r="A141" s="35" t="s">
        <v>56</v>
      </c>
      <c r="B141" s="36">
        <v>45748</v>
      </c>
      <c r="C141" s="35" t="s">
        <v>24</v>
      </c>
      <c r="D141" s="35" t="s">
        <v>16</v>
      </c>
      <c r="E141" s="35">
        <v>44211.95</v>
      </c>
      <c r="F141" s="35">
        <v>5465</v>
      </c>
      <c r="G141" s="35">
        <v>0.187</v>
      </c>
      <c r="H141" s="35">
        <v>12</v>
      </c>
      <c r="I141" s="35">
        <v>90</v>
      </c>
      <c r="J141" s="35">
        <v>2.89</v>
      </c>
      <c r="K141" s="35">
        <v>0</v>
      </c>
      <c r="L141" s="35">
        <v>3.6</v>
      </c>
      <c r="M141" s="35">
        <v>646559.71</v>
      </c>
      <c r="N141" s="35">
        <v>97981.75</v>
      </c>
    </row>
    <row r="142" spans="1:14">
      <c r="A142" s="35" t="s">
        <v>57</v>
      </c>
      <c r="B142" s="36">
        <v>45658</v>
      </c>
      <c r="C142" s="35" t="s">
        <v>27</v>
      </c>
      <c r="D142" s="35" t="s">
        <v>18</v>
      </c>
      <c r="E142" s="35">
        <v>51430.31</v>
      </c>
      <c r="F142" s="35">
        <v>6427</v>
      </c>
      <c r="G142" s="35">
        <v>0.23400000000000001</v>
      </c>
      <c r="H142" s="35">
        <v>14</v>
      </c>
      <c r="I142" s="35">
        <v>88.8</v>
      </c>
      <c r="J142" s="35">
        <v>0.77</v>
      </c>
      <c r="K142" s="35">
        <v>0</v>
      </c>
      <c r="L142" s="35">
        <v>4.0999999999999996</v>
      </c>
      <c r="M142" s="35">
        <v>715890.53</v>
      </c>
      <c r="N142" s="35">
        <v>109032.15</v>
      </c>
    </row>
    <row r="143" spans="1:14">
      <c r="A143" s="35" t="s">
        <v>57</v>
      </c>
      <c r="B143" s="36">
        <v>45689</v>
      </c>
      <c r="C143" s="35" t="s">
        <v>27</v>
      </c>
      <c r="D143" s="35" t="s">
        <v>18</v>
      </c>
      <c r="E143" s="35">
        <v>45706.49</v>
      </c>
      <c r="F143" s="35">
        <v>6704</v>
      </c>
      <c r="G143" s="35">
        <v>3.7999999999999999E-2</v>
      </c>
      <c r="H143" s="35">
        <v>15</v>
      </c>
      <c r="I143" s="35">
        <v>94.2</v>
      </c>
      <c r="J143" s="35">
        <v>2.92</v>
      </c>
      <c r="K143" s="35">
        <v>0</v>
      </c>
      <c r="L143" s="35">
        <v>4.2</v>
      </c>
      <c r="M143" s="35">
        <v>715097.57</v>
      </c>
      <c r="N143" s="35">
        <v>151875.85999999999</v>
      </c>
    </row>
    <row r="144" spans="1:14">
      <c r="A144" s="35" t="s">
        <v>57</v>
      </c>
      <c r="B144" s="36">
        <v>45717</v>
      </c>
      <c r="C144" s="35" t="s">
        <v>27</v>
      </c>
      <c r="D144" s="35" t="s">
        <v>18</v>
      </c>
      <c r="E144" s="35">
        <v>44034.6</v>
      </c>
      <c r="F144" s="35">
        <v>5645</v>
      </c>
      <c r="G144" s="35">
        <v>6.9000000000000006E-2</v>
      </c>
      <c r="H144" s="35">
        <v>18</v>
      </c>
      <c r="I144" s="35">
        <v>88.5</v>
      </c>
      <c r="J144" s="35">
        <v>3.07</v>
      </c>
      <c r="K144" s="35">
        <v>0</v>
      </c>
      <c r="L144" s="35">
        <v>3.8</v>
      </c>
      <c r="M144" s="35">
        <v>682639.28</v>
      </c>
      <c r="N144" s="35">
        <v>77557.53</v>
      </c>
    </row>
    <row r="145" spans="1:14">
      <c r="A145" s="35" t="s">
        <v>57</v>
      </c>
      <c r="B145" s="36">
        <v>45748</v>
      </c>
      <c r="C145" s="35" t="s">
        <v>27</v>
      </c>
      <c r="D145" s="35" t="s">
        <v>18</v>
      </c>
      <c r="E145" s="35">
        <v>50198.12</v>
      </c>
      <c r="F145" s="35">
        <v>6089</v>
      </c>
      <c r="G145" s="35">
        <v>0.182</v>
      </c>
      <c r="H145" s="35">
        <v>19</v>
      </c>
      <c r="I145" s="35">
        <v>94</v>
      </c>
      <c r="J145" s="35">
        <v>9.6999999999999993</v>
      </c>
      <c r="K145" s="35">
        <v>0</v>
      </c>
      <c r="L145" s="35">
        <v>3.9</v>
      </c>
      <c r="M145" s="35">
        <v>695098.51</v>
      </c>
      <c r="N145" s="35">
        <v>108192.75</v>
      </c>
    </row>
    <row r="146" spans="1:14">
      <c r="A146" s="35" t="s">
        <v>58</v>
      </c>
      <c r="B146" s="36">
        <v>45658</v>
      </c>
      <c r="C146" s="35" t="s">
        <v>20</v>
      </c>
      <c r="D146" s="35" t="s">
        <v>16</v>
      </c>
      <c r="E146" s="35">
        <v>70488.2</v>
      </c>
      <c r="F146" s="35">
        <v>4312</v>
      </c>
      <c r="G146" s="35">
        <v>0.16900000000000001</v>
      </c>
      <c r="H146" s="35">
        <v>12</v>
      </c>
      <c r="I146" s="35">
        <v>90.2</v>
      </c>
      <c r="J146" s="35">
        <v>3.71</v>
      </c>
      <c r="K146" s="35">
        <v>0</v>
      </c>
      <c r="L146" s="35">
        <v>3.2</v>
      </c>
      <c r="M146" s="35">
        <v>577732.56999999995</v>
      </c>
      <c r="N146" s="35">
        <v>93804.27</v>
      </c>
    </row>
    <row r="147" spans="1:14">
      <c r="A147" s="35" t="s">
        <v>58</v>
      </c>
      <c r="B147" s="36">
        <v>45689</v>
      </c>
      <c r="C147" s="35" t="s">
        <v>20</v>
      </c>
      <c r="D147" s="35" t="s">
        <v>16</v>
      </c>
      <c r="E147" s="35">
        <v>50909.27</v>
      </c>
      <c r="F147" s="35">
        <v>3152</v>
      </c>
      <c r="G147" s="35">
        <v>0.06</v>
      </c>
      <c r="H147" s="35">
        <v>13</v>
      </c>
      <c r="I147" s="35">
        <v>93.7</v>
      </c>
      <c r="J147" s="35">
        <v>10.79</v>
      </c>
      <c r="K147" s="35">
        <v>0</v>
      </c>
      <c r="L147" s="35">
        <v>3.5</v>
      </c>
      <c r="M147" s="35">
        <v>537058.32999999996</v>
      </c>
      <c r="N147" s="35">
        <v>93555.71</v>
      </c>
    </row>
    <row r="148" spans="1:14">
      <c r="A148" s="35" t="s">
        <v>58</v>
      </c>
      <c r="B148" s="36">
        <v>45717</v>
      </c>
      <c r="C148" s="35" t="s">
        <v>20</v>
      </c>
      <c r="D148" s="35" t="s">
        <v>16</v>
      </c>
      <c r="E148" s="35">
        <v>53351.7</v>
      </c>
      <c r="F148" s="35">
        <v>4259</v>
      </c>
      <c r="G148" s="35">
        <v>0.156</v>
      </c>
      <c r="H148" s="35">
        <v>15</v>
      </c>
      <c r="I148" s="35">
        <v>93.7</v>
      </c>
      <c r="J148" s="35">
        <v>6.03</v>
      </c>
      <c r="K148" s="35">
        <v>0</v>
      </c>
      <c r="L148" s="35">
        <v>3.4</v>
      </c>
      <c r="M148" s="35">
        <v>601568.87</v>
      </c>
      <c r="N148" s="35">
        <v>91634.82</v>
      </c>
    </row>
    <row r="149" spans="1:14">
      <c r="A149" s="35" t="s">
        <v>58</v>
      </c>
      <c r="B149" s="36">
        <v>45748</v>
      </c>
      <c r="C149" s="35" t="s">
        <v>20</v>
      </c>
      <c r="D149" s="35" t="s">
        <v>16</v>
      </c>
      <c r="E149" s="35">
        <v>60322.400000000001</v>
      </c>
      <c r="F149" s="35">
        <v>3350</v>
      </c>
      <c r="G149" s="35">
        <v>0.108</v>
      </c>
      <c r="H149" s="35">
        <v>12</v>
      </c>
      <c r="I149" s="35">
        <v>89.4</v>
      </c>
      <c r="J149" s="35">
        <v>4.92</v>
      </c>
      <c r="K149" s="35">
        <v>0</v>
      </c>
      <c r="L149" s="35">
        <v>3.4</v>
      </c>
      <c r="M149" s="35">
        <v>570964.84</v>
      </c>
      <c r="N149" s="35">
        <v>81331.070000000007</v>
      </c>
    </row>
    <row r="150" spans="1:14">
      <c r="A150" s="35" t="s">
        <v>59</v>
      </c>
      <c r="B150" s="36">
        <v>45658</v>
      </c>
      <c r="C150" s="35" t="s">
        <v>24</v>
      </c>
      <c r="D150" s="35" t="s">
        <v>28</v>
      </c>
      <c r="E150" s="35">
        <v>51575.68</v>
      </c>
      <c r="F150" s="35">
        <v>5329</v>
      </c>
      <c r="G150" s="35">
        <v>4.7E-2</v>
      </c>
      <c r="H150" s="35">
        <v>17</v>
      </c>
      <c r="I150" s="35">
        <v>88.1</v>
      </c>
      <c r="J150" s="35">
        <v>19.78</v>
      </c>
      <c r="K150" s="35">
        <v>0</v>
      </c>
      <c r="L150" s="35">
        <v>3.8</v>
      </c>
      <c r="M150" s="35">
        <v>614024.91</v>
      </c>
      <c r="N150" s="35">
        <v>84828.93</v>
      </c>
    </row>
    <row r="151" spans="1:14">
      <c r="A151" s="35" t="s">
        <v>59</v>
      </c>
      <c r="B151" s="36">
        <v>45689</v>
      </c>
      <c r="C151" s="35" t="s">
        <v>24</v>
      </c>
      <c r="D151" s="35" t="s">
        <v>28</v>
      </c>
      <c r="E151" s="35">
        <v>43319.94</v>
      </c>
      <c r="F151" s="35">
        <v>6551</v>
      </c>
      <c r="G151" s="35">
        <v>4.3999999999999997E-2</v>
      </c>
      <c r="H151" s="35">
        <v>13</v>
      </c>
      <c r="I151" s="35">
        <v>99</v>
      </c>
      <c r="J151" s="35">
        <v>5.45</v>
      </c>
      <c r="K151" s="35">
        <v>0</v>
      </c>
      <c r="L151" s="35">
        <v>4.0999999999999996</v>
      </c>
      <c r="M151" s="35">
        <v>712868.35</v>
      </c>
      <c r="N151" s="35">
        <v>133650.51</v>
      </c>
    </row>
    <row r="152" spans="1:14">
      <c r="A152" s="35" t="s">
        <v>59</v>
      </c>
      <c r="B152" s="36">
        <v>45717</v>
      </c>
      <c r="C152" s="35" t="s">
        <v>24</v>
      </c>
      <c r="D152" s="35" t="s">
        <v>28</v>
      </c>
      <c r="E152" s="35">
        <v>47093.55</v>
      </c>
      <c r="F152" s="35">
        <v>5550</v>
      </c>
      <c r="G152" s="35">
        <v>0.1</v>
      </c>
      <c r="H152" s="35">
        <v>12</v>
      </c>
      <c r="I152" s="35">
        <v>95</v>
      </c>
      <c r="J152" s="35">
        <v>2.33</v>
      </c>
      <c r="K152" s="35">
        <v>1</v>
      </c>
      <c r="L152" s="35">
        <v>3.7</v>
      </c>
      <c r="M152" s="35">
        <v>696744.15</v>
      </c>
      <c r="N152" s="35">
        <v>152230.09</v>
      </c>
    </row>
    <row r="153" spans="1:14">
      <c r="A153" s="35" t="s">
        <v>59</v>
      </c>
      <c r="B153" s="36">
        <v>45748</v>
      </c>
      <c r="C153" s="35" t="s">
        <v>24</v>
      </c>
      <c r="D153" s="35" t="s">
        <v>28</v>
      </c>
      <c r="E153" s="35">
        <v>71855.09</v>
      </c>
      <c r="F153" s="35">
        <v>5911</v>
      </c>
      <c r="G153" s="35">
        <v>0.19700000000000001</v>
      </c>
      <c r="H153" s="35">
        <v>15</v>
      </c>
      <c r="I153" s="35">
        <v>94.3</v>
      </c>
      <c r="J153" s="35">
        <v>3.55</v>
      </c>
      <c r="K153" s="35">
        <v>0</v>
      </c>
      <c r="L153" s="35">
        <v>4.0999999999999996</v>
      </c>
      <c r="M153" s="35">
        <v>725847.99</v>
      </c>
      <c r="N153" s="35">
        <v>122698.73</v>
      </c>
    </row>
    <row r="154" spans="1:14">
      <c r="A154" s="35" t="s">
        <v>60</v>
      </c>
      <c r="B154" s="36">
        <v>45658</v>
      </c>
      <c r="C154" s="35" t="s">
        <v>15</v>
      </c>
      <c r="D154" s="35" t="s">
        <v>18</v>
      </c>
      <c r="E154" s="35">
        <v>75645.23</v>
      </c>
      <c r="F154" s="35">
        <v>9674</v>
      </c>
      <c r="G154" s="35">
        <v>0.23400000000000001</v>
      </c>
      <c r="H154" s="35">
        <v>21</v>
      </c>
      <c r="I154" s="35">
        <v>87.4</v>
      </c>
      <c r="J154" s="35">
        <v>0.2</v>
      </c>
      <c r="K154" s="35">
        <v>0</v>
      </c>
      <c r="L154" s="35">
        <v>4.5</v>
      </c>
      <c r="M154" s="35">
        <v>785028.25</v>
      </c>
      <c r="N154" s="35">
        <v>110726.44</v>
      </c>
    </row>
    <row r="155" spans="1:14">
      <c r="A155" s="35" t="s">
        <v>60</v>
      </c>
      <c r="B155" s="36">
        <v>45689</v>
      </c>
      <c r="C155" s="35" t="s">
        <v>15</v>
      </c>
      <c r="D155" s="35" t="s">
        <v>18</v>
      </c>
      <c r="E155" s="35">
        <v>64374.75</v>
      </c>
      <c r="F155" s="35">
        <v>6740</v>
      </c>
      <c r="G155" s="35">
        <v>0.16900000000000001</v>
      </c>
      <c r="H155" s="35">
        <v>18</v>
      </c>
      <c r="I155" s="35">
        <v>87</v>
      </c>
      <c r="J155" s="35">
        <v>2.09</v>
      </c>
      <c r="K155" s="35">
        <v>0</v>
      </c>
      <c r="L155" s="35">
        <v>4.2</v>
      </c>
      <c r="M155" s="35">
        <v>698492.67</v>
      </c>
      <c r="N155" s="35">
        <v>117319.32</v>
      </c>
    </row>
    <row r="156" spans="1:14">
      <c r="A156" s="35" t="s">
        <v>60</v>
      </c>
      <c r="B156" s="36">
        <v>45717</v>
      </c>
      <c r="C156" s="35" t="s">
        <v>15</v>
      </c>
      <c r="D156" s="35" t="s">
        <v>18</v>
      </c>
      <c r="E156" s="35">
        <v>61433.84</v>
      </c>
      <c r="F156" s="35">
        <v>7745</v>
      </c>
      <c r="G156" s="35">
        <v>0.18</v>
      </c>
      <c r="H156" s="35">
        <v>16</v>
      </c>
      <c r="I156" s="35">
        <v>90.5</v>
      </c>
      <c r="J156" s="35">
        <v>2.2599999999999998</v>
      </c>
      <c r="K156" s="35">
        <v>0</v>
      </c>
      <c r="L156" s="35">
        <v>4.2</v>
      </c>
      <c r="M156" s="35">
        <v>685830.24</v>
      </c>
      <c r="N156" s="35">
        <v>128736.18</v>
      </c>
    </row>
    <row r="157" spans="1:14">
      <c r="A157" s="35" t="s">
        <v>60</v>
      </c>
      <c r="B157" s="36">
        <v>45748</v>
      </c>
      <c r="C157" s="35" t="s">
        <v>15</v>
      </c>
      <c r="D157" s="35" t="s">
        <v>18</v>
      </c>
      <c r="E157" s="35">
        <v>42698.14</v>
      </c>
      <c r="F157" s="35">
        <v>7693</v>
      </c>
      <c r="G157" s="35">
        <v>0.187</v>
      </c>
      <c r="H157" s="35">
        <v>19</v>
      </c>
      <c r="I157" s="35">
        <v>90.1</v>
      </c>
      <c r="J157" s="35">
        <v>0.44</v>
      </c>
      <c r="K157" s="35">
        <v>0</v>
      </c>
      <c r="L157" s="35">
        <v>4.4000000000000004</v>
      </c>
      <c r="M157" s="35">
        <v>702318.94</v>
      </c>
      <c r="N157" s="35">
        <v>112829.29</v>
      </c>
    </row>
    <row r="158" spans="1:14">
      <c r="A158" s="35" t="s">
        <v>61</v>
      </c>
      <c r="B158" s="36">
        <v>45658</v>
      </c>
      <c r="C158" s="35" t="s">
        <v>20</v>
      </c>
      <c r="D158" s="35" t="s">
        <v>28</v>
      </c>
      <c r="E158" s="35">
        <v>86883.31</v>
      </c>
      <c r="F158" s="35">
        <v>6424</v>
      </c>
      <c r="G158" s="35">
        <v>5.7000000000000002E-2</v>
      </c>
      <c r="H158" s="35">
        <v>19</v>
      </c>
      <c r="I158" s="35">
        <v>85.2</v>
      </c>
      <c r="J158" s="35">
        <v>3.08</v>
      </c>
      <c r="K158" s="35">
        <v>0</v>
      </c>
      <c r="L158" s="35">
        <v>3.9</v>
      </c>
      <c r="M158" s="35">
        <v>700078.32</v>
      </c>
      <c r="N158" s="35">
        <v>123707.58</v>
      </c>
    </row>
    <row r="159" spans="1:14">
      <c r="A159" s="35" t="s">
        <v>61</v>
      </c>
      <c r="B159" s="36">
        <v>45689</v>
      </c>
      <c r="C159" s="35" t="s">
        <v>20</v>
      </c>
      <c r="D159" s="35" t="s">
        <v>28</v>
      </c>
      <c r="E159" s="35">
        <v>41863.08</v>
      </c>
      <c r="F159" s="35">
        <v>5400</v>
      </c>
      <c r="G159" s="35">
        <v>0.114</v>
      </c>
      <c r="H159" s="35">
        <v>11</v>
      </c>
      <c r="I159" s="35">
        <v>91.6</v>
      </c>
      <c r="J159" s="35">
        <v>7.99</v>
      </c>
      <c r="K159" s="35">
        <v>0</v>
      </c>
      <c r="L159" s="35">
        <v>3</v>
      </c>
      <c r="M159" s="35">
        <v>602002.31999999995</v>
      </c>
      <c r="N159" s="35">
        <v>110453.28</v>
      </c>
    </row>
    <row r="160" spans="1:14">
      <c r="A160" s="35" t="s">
        <v>61</v>
      </c>
      <c r="B160" s="36">
        <v>45717</v>
      </c>
      <c r="C160" s="35" t="s">
        <v>20</v>
      </c>
      <c r="D160" s="35" t="s">
        <v>28</v>
      </c>
      <c r="E160" s="35">
        <v>56918.16</v>
      </c>
      <c r="F160" s="35">
        <v>7015</v>
      </c>
      <c r="G160" s="35">
        <v>0.158</v>
      </c>
      <c r="H160" s="35">
        <v>18</v>
      </c>
      <c r="I160" s="35">
        <v>74.2</v>
      </c>
      <c r="J160" s="35">
        <v>0.2</v>
      </c>
      <c r="K160" s="35">
        <v>0</v>
      </c>
      <c r="L160" s="35">
        <v>3.4</v>
      </c>
      <c r="M160" s="35">
        <v>724216.07</v>
      </c>
      <c r="N160" s="35">
        <v>100627.56</v>
      </c>
    </row>
    <row r="161" spans="1:14">
      <c r="A161" s="35" t="s">
        <v>61</v>
      </c>
      <c r="B161" s="36">
        <v>45748</v>
      </c>
      <c r="C161" s="35" t="s">
        <v>20</v>
      </c>
      <c r="D161" s="35" t="s">
        <v>28</v>
      </c>
      <c r="E161" s="35">
        <v>23254.57</v>
      </c>
      <c r="F161" s="35">
        <v>3847</v>
      </c>
      <c r="G161" s="35">
        <v>0.159</v>
      </c>
      <c r="H161" s="35">
        <v>12</v>
      </c>
      <c r="I161" s="35">
        <v>93</v>
      </c>
      <c r="J161" s="35">
        <v>5.46</v>
      </c>
      <c r="K161" s="35">
        <v>0</v>
      </c>
      <c r="L161" s="35">
        <v>3.3</v>
      </c>
      <c r="M161" s="35">
        <v>620973.03</v>
      </c>
      <c r="N161" s="35">
        <v>72303.850000000006</v>
      </c>
    </row>
    <row r="162" spans="1:14">
      <c r="A162" s="35" t="s">
        <v>62</v>
      </c>
      <c r="B162" s="36">
        <v>45658</v>
      </c>
      <c r="C162" s="35" t="s">
        <v>24</v>
      </c>
      <c r="D162" s="35" t="s">
        <v>18</v>
      </c>
      <c r="E162" s="35">
        <v>41443.410000000003</v>
      </c>
      <c r="F162" s="35">
        <v>7455</v>
      </c>
      <c r="G162" s="35">
        <v>0.17499999999999999</v>
      </c>
      <c r="H162" s="35">
        <v>16</v>
      </c>
      <c r="I162" s="35">
        <v>90.1</v>
      </c>
      <c r="J162" s="35">
        <v>4.05</v>
      </c>
      <c r="K162" s="35">
        <v>0</v>
      </c>
      <c r="L162" s="35">
        <v>4</v>
      </c>
      <c r="M162" s="35">
        <v>650480.06000000006</v>
      </c>
      <c r="N162" s="35">
        <v>109012.07</v>
      </c>
    </row>
    <row r="163" spans="1:14">
      <c r="A163" s="35" t="s">
        <v>62</v>
      </c>
      <c r="B163" s="36">
        <v>45689</v>
      </c>
      <c r="C163" s="35" t="s">
        <v>24</v>
      </c>
      <c r="D163" s="35" t="s">
        <v>18</v>
      </c>
      <c r="E163" s="35">
        <v>48438.85</v>
      </c>
      <c r="F163" s="35">
        <v>6992</v>
      </c>
      <c r="G163" s="35">
        <v>3.4000000000000002E-2</v>
      </c>
      <c r="H163" s="35">
        <v>20</v>
      </c>
      <c r="I163" s="35">
        <v>91</v>
      </c>
      <c r="J163" s="35">
        <v>4.3600000000000003</v>
      </c>
      <c r="K163" s="35">
        <v>0</v>
      </c>
      <c r="L163" s="35">
        <v>4.2</v>
      </c>
      <c r="M163" s="35">
        <v>778298.88</v>
      </c>
      <c r="N163" s="35">
        <v>130076.72</v>
      </c>
    </row>
    <row r="164" spans="1:14">
      <c r="A164" s="35" t="s">
        <v>62</v>
      </c>
      <c r="B164" s="36">
        <v>45717</v>
      </c>
      <c r="C164" s="35" t="s">
        <v>24</v>
      </c>
      <c r="D164" s="35" t="s">
        <v>18</v>
      </c>
      <c r="E164" s="35">
        <v>57143.3</v>
      </c>
      <c r="F164" s="35">
        <v>8038</v>
      </c>
      <c r="G164" s="35">
        <v>0.193</v>
      </c>
      <c r="H164" s="35">
        <v>17</v>
      </c>
      <c r="I164" s="35">
        <v>72.599999999999994</v>
      </c>
      <c r="J164" s="35"/>
      <c r="K164" s="35">
        <v>0</v>
      </c>
      <c r="L164" s="35">
        <v>4.2</v>
      </c>
      <c r="M164" s="35">
        <v>677096.71</v>
      </c>
      <c r="N164" s="35">
        <v>97174.11</v>
      </c>
    </row>
    <row r="165" spans="1:14">
      <c r="A165" s="35" t="s">
        <v>62</v>
      </c>
      <c r="B165" s="36">
        <v>45748</v>
      </c>
      <c r="C165" s="35" t="s">
        <v>24</v>
      </c>
      <c r="D165" s="35" t="s">
        <v>18</v>
      </c>
      <c r="E165" s="35">
        <v>66870.62</v>
      </c>
      <c r="F165" s="35">
        <v>6055</v>
      </c>
      <c r="G165" s="35">
        <v>7.4999999999999997E-2</v>
      </c>
      <c r="H165" s="35">
        <v>19</v>
      </c>
      <c r="I165" s="35">
        <v>93.8</v>
      </c>
      <c r="J165" s="35">
        <v>0.54</v>
      </c>
      <c r="K165" s="35">
        <v>0</v>
      </c>
      <c r="L165" s="35">
        <v>4.3</v>
      </c>
      <c r="M165" s="35">
        <v>692008.64</v>
      </c>
      <c r="N165" s="35">
        <v>116337.87</v>
      </c>
    </row>
    <row r="166" spans="1:14">
      <c r="A166" s="35" t="s">
        <v>63</v>
      </c>
      <c r="B166" s="36">
        <v>45658</v>
      </c>
      <c r="C166" s="35" t="s">
        <v>20</v>
      </c>
      <c r="D166" s="35" t="s">
        <v>28</v>
      </c>
      <c r="E166" s="35">
        <v>72150.53</v>
      </c>
      <c r="F166" s="35">
        <v>9323</v>
      </c>
      <c r="G166" s="35">
        <v>0.157</v>
      </c>
      <c r="H166" s="35">
        <v>22</v>
      </c>
      <c r="I166" s="35">
        <v>82.9</v>
      </c>
      <c r="J166" s="35">
        <v>11.37</v>
      </c>
      <c r="K166" s="35">
        <v>1</v>
      </c>
      <c r="L166" s="35">
        <v>4.3</v>
      </c>
      <c r="M166" s="35">
        <v>825797.91</v>
      </c>
      <c r="N166" s="35">
        <v>130945.24</v>
      </c>
    </row>
    <row r="167" spans="1:14">
      <c r="A167" s="35" t="s">
        <v>63</v>
      </c>
      <c r="B167" s="36">
        <v>45689</v>
      </c>
      <c r="C167" s="35" t="s">
        <v>20</v>
      </c>
      <c r="D167" s="35" t="s">
        <v>28</v>
      </c>
      <c r="E167" s="35">
        <v>35303.300000000003</v>
      </c>
      <c r="F167" s="35">
        <v>8789</v>
      </c>
      <c r="G167" s="35">
        <v>0.123</v>
      </c>
      <c r="H167" s="35">
        <v>22</v>
      </c>
      <c r="I167" s="35">
        <v>86.1</v>
      </c>
      <c r="J167" s="35">
        <v>9.43</v>
      </c>
      <c r="K167" s="35">
        <v>0</v>
      </c>
      <c r="L167" s="35">
        <v>4.2</v>
      </c>
      <c r="M167" s="35">
        <v>706285.52</v>
      </c>
      <c r="N167" s="35">
        <v>138014.72</v>
      </c>
    </row>
    <row r="168" spans="1:14">
      <c r="A168" s="35" t="s">
        <v>63</v>
      </c>
      <c r="B168" s="36">
        <v>45717</v>
      </c>
      <c r="C168" s="35" t="s">
        <v>20</v>
      </c>
      <c r="D168" s="35" t="s">
        <v>28</v>
      </c>
      <c r="E168" s="35">
        <v>30301.86</v>
      </c>
      <c r="F168" s="35">
        <v>6939</v>
      </c>
      <c r="G168" s="35">
        <v>0.09</v>
      </c>
      <c r="H168" s="35">
        <v>16</v>
      </c>
      <c r="I168" s="35">
        <v>90.3</v>
      </c>
      <c r="J168" s="35">
        <v>3.49</v>
      </c>
      <c r="K168" s="35">
        <v>0</v>
      </c>
      <c r="L168" s="35">
        <v>4</v>
      </c>
      <c r="M168" s="35">
        <v>665534.69999999995</v>
      </c>
      <c r="N168" s="35">
        <v>113167.73</v>
      </c>
    </row>
    <row r="169" spans="1:14">
      <c r="A169" s="35" t="s">
        <v>63</v>
      </c>
      <c r="B169" s="36">
        <v>45748</v>
      </c>
      <c r="C169" s="35" t="s">
        <v>20</v>
      </c>
      <c r="D169" s="35" t="s">
        <v>28</v>
      </c>
      <c r="E169" s="35">
        <v>78432.14</v>
      </c>
      <c r="F169" s="35">
        <v>9440</v>
      </c>
      <c r="G169" s="35">
        <v>0.126</v>
      </c>
      <c r="H169" s="35">
        <v>23</v>
      </c>
      <c r="I169" s="35">
        <v>89.2</v>
      </c>
      <c r="J169" s="35">
        <v>7.86</v>
      </c>
      <c r="K169" s="35">
        <v>0</v>
      </c>
      <c r="L169" s="35">
        <v>4.0999999999999996</v>
      </c>
      <c r="M169" s="35">
        <v>820729.29</v>
      </c>
      <c r="N169" s="35">
        <v>159325.47</v>
      </c>
    </row>
    <row r="170" spans="1:14">
      <c r="A170" s="35" t="s">
        <v>64</v>
      </c>
      <c r="B170" s="36">
        <v>45658</v>
      </c>
      <c r="C170" s="35" t="s">
        <v>15</v>
      </c>
      <c r="D170" s="35" t="s">
        <v>16</v>
      </c>
      <c r="E170" s="35">
        <v>62059.18</v>
      </c>
      <c r="F170" s="35">
        <v>9374</v>
      </c>
      <c r="G170" s="35">
        <v>0.13600000000000001</v>
      </c>
      <c r="H170" s="35">
        <v>25</v>
      </c>
      <c r="I170" s="35">
        <v>87.1</v>
      </c>
      <c r="J170" s="35">
        <v>12.55</v>
      </c>
      <c r="K170" s="35">
        <v>0</v>
      </c>
      <c r="L170" s="35">
        <v>4.9000000000000004</v>
      </c>
      <c r="M170" s="35">
        <v>739831.73</v>
      </c>
      <c r="N170" s="35">
        <v>119490.21</v>
      </c>
    </row>
    <row r="171" spans="1:14">
      <c r="A171" s="35" t="s">
        <v>64</v>
      </c>
      <c r="B171" s="36">
        <v>45689</v>
      </c>
      <c r="C171" s="35" t="s">
        <v>15</v>
      </c>
      <c r="D171" s="35" t="s">
        <v>16</v>
      </c>
      <c r="E171" s="35">
        <v>32834.480000000003</v>
      </c>
      <c r="F171" s="35">
        <v>7576</v>
      </c>
      <c r="G171" s="35">
        <v>9.9000000000000005E-2</v>
      </c>
      <c r="H171" s="35">
        <v>15</v>
      </c>
      <c r="I171" s="35">
        <v>84.1</v>
      </c>
      <c r="J171" s="35">
        <v>3.48</v>
      </c>
      <c r="K171" s="35">
        <v>0</v>
      </c>
      <c r="L171" s="35">
        <v>5</v>
      </c>
      <c r="M171" s="35">
        <v>593637.14</v>
      </c>
      <c r="N171" s="35">
        <v>106648.14</v>
      </c>
    </row>
    <row r="172" spans="1:14">
      <c r="A172" s="35" t="s">
        <v>64</v>
      </c>
      <c r="B172" s="36">
        <v>45717</v>
      </c>
      <c r="C172" s="35" t="s">
        <v>15</v>
      </c>
      <c r="D172" s="35" t="s">
        <v>16</v>
      </c>
      <c r="E172" s="35">
        <v>50825.08</v>
      </c>
      <c r="F172" s="35">
        <v>8949</v>
      </c>
      <c r="G172" s="35">
        <v>0.157</v>
      </c>
      <c r="H172" s="35">
        <v>21</v>
      </c>
      <c r="I172" s="35">
        <v>84.7</v>
      </c>
      <c r="J172" s="35">
        <v>7.73</v>
      </c>
      <c r="K172" s="35">
        <v>0</v>
      </c>
      <c r="L172" s="35">
        <v>4.9000000000000004</v>
      </c>
      <c r="M172" s="35">
        <v>769702.76</v>
      </c>
      <c r="N172" s="35">
        <v>158697</v>
      </c>
    </row>
    <row r="173" spans="1:14">
      <c r="A173" s="35" t="s">
        <v>64</v>
      </c>
      <c r="B173" s="36">
        <v>45748</v>
      </c>
      <c r="C173" s="35" t="s">
        <v>15</v>
      </c>
      <c r="D173" s="35" t="s">
        <v>16</v>
      </c>
      <c r="E173" s="35">
        <v>36606.51</v>
      </c>
      <c r="F173" s="35">
        <v>7671</v>
      </c>
      <c r="G173" s="35">
        <v>0.11799999999999999</v>
      </c>
      <c r="H173" s="35">
        <v>18</v>
      </c>
      <c r="I173" s="35">
        <v>89.8</v>
      </c>
      <c r="J173" s="35">
        <v>0.25</v>
      </c>
      <c r="K173" s="35">
        <v>0</v>
      </c>
      <c r="L173" s="35">
        <v>4.4000000000000004</v>
      </c>
      <c r="M173" s="35">
        <v>679731.57</v>
      </c>
      <c r="N173" s="35">
        <v>121546.42</v>
      </c>
    </row>
    <row r="174" spans="1:14">
      <c r="A174" s="35" t="s">
        <v>65</v>
      </c>
      <c r="B174" s="36">
        <v>45658</v>
      </c>
      <c r="C174" s="35" t="s">
        <v>15</v>
      </c>
      <c r="D174" s="35" t="s">
        <v>16</v>
      </c>
      <c r="E174" s="35">
        <v>65237.79</v>
      </c>
      <c r="F174" s="35">
        <v>8741</v>
      </c>
      <c r="G174" s="35">
        <v>0.157</v>
      </c>
      <c r="H174" s="35">
        <v>20</v>
      </c>
      <c r="I174" s="35">
        <v>94.4</v>
      </c>
      <c r="J174" s="35">
        <v>6.43</v>
      </c>
      <c r="K174" s="35">
        <v>0</v>
      </c>
      <c r="L174" s="35">
        <v>3.3</v>
      </c>
      <c r="M174" s="35">
        <v>780344.18</v>
      </c>
      <c r="N174" s="35">
        <v>118239.09</v>
      </c>
    </row>
    <row r="175" spans="1:14">
      <c r="A175" s="35" t="s">
        <v>65</v>
      </c>
      <c r="B175" s="36">
        <v>45689</v>
      </c>
      <c r="C175" s="35" t="s">
        <v>15</v>
      </c>
      <c r="D175" s="35" t="s">
        <v>16</v>
      </c>
      <c r="E175" s="35">
        <v>43645.98</v>
      </c>
      <c r="F175" s="35">
        <v>9480</v>
      </c>
      <c r="G175" s="35">
        <v>0.109</v>
      </c>
      <c r="H175" s="35">
        <v>22</v>
      </c>
      <c r="I175" s="35">
        <v>89</v>
      </c>
      <c r="J175" s="35">
        <v>2.11</v>
      </c>
      <c r="K175" s="35">
        <v>0</v>
      </c>
      <c r="L175" s="35">
        <v>3.1</v>
      </c>
      <c r="M175" s="35">
        <v>721364.11</v>
      </c>
      <c r="N175" s="35">
        <v>147272.81</v>
      </c>
    </row>
    <row r="176" spans="1:14">
      <c r="A176" s="35" t="s">
        <v>65</v>
      </c>
      <c r="B176" s="36">
        <v>45717</v>
      </c>
      <c r="C176" s="35" t="s">
        <v>15</v>
      </c>
      <c r="D176" s="35" t="s">
        <v>16</v>
      </c>
      <c r="E176" s="35">
        <v>68040.149999999994</v>
      </c>
      <c r="F176" s="35">
        <v>9826</v>
      </c>
      <c r="G176" s="35">
        <v>0.125</v>
      </c>
      <c r="H176" s="35">
        <v>20</v>
      </c>
      <c r="I176" s="35">
        <v>83.9</v>
      </c>
      <c r="J176" s="35">
        <v>9.1199999999999992</v>
      </c>
      <c r="K176" s="35">
        <v>0</v>
      </c>
      <c r="L176" s="35">
        <v>3.6</v>
      </c>
      <c r="M176" s="35">
        <v>758138.29</v>
      </c>
      <c r="N176" s="35">
        <v>132975.26</v>
      </c>
    </row>
    <row r="177" spans="1:14">
      <c r="A177" s="35" t="s">
        <v>65</v>
      </c>
      <c r="B177" s="36">
        <v>45748</v>
      </c>
      <c r="C177" s="35" t="s">
        <v>15</v>
      </c>
      <c r="D177" s="35" t="s">
        <v>16</v>
      </c>
      <c r="E177" s="35">
        <v>63043.94</v>
      </c>
      <c r="F177" s="35">
        <v>10402</v>
      </c>
      <c r="G177" s="35">
        <v>0.159</v>
      </c>
      <c r="H177" s="35">
        <v>23</v>
      </c>
      <c r="I177" s="35">
        <v>93.9</v>
      </c>
      <c r="J177" s="35">
        <v>2.71</v>
      </c>
      <c r="K177" s="35">
        <v>0</v>
      </c>
      <c r="L177" s="35">
        <v>3.1</v>
      </c>
      <c r="M177" s="35">
        <v>804264</v>
      </c>
      <c r="N177" s="35">
        <v>167117.91</v>
      </c>
    </row>
    <row r="178" spans="1:14">
      <c r="A178" s="35" t="s">
        <v>66</v>
      </c>
      <c r="B178" s="36">
        <v>45658</v>
      </c>
      <c r="C178" s="35" t="s">
        <v>27</v>
      </c>
      <c r="D178" s="35" t="s">
        <v>21</v>
      </c>
      <c r="E178" s="35">
        <v>67494.09</v>
      </c>
      <c r="F178" s="35">
        <v>12361</v>
      </c>
      <c r="G178" s="35">
        <v>4.5999999999999999E-2</v>
      </c>
      <c r="H178" s="35">
        <v>24</v>
      </c>
      <c r="I178" s="35">
        <v>76.599999999999994</v>
      </c>
      <c r="J178" s="35">
        <v>3.65</v>
      </c>
      <c r="K178" s="35">
        <v>1</v>
      </c>
      <c r="L178" s="35">
        <v>3.7</v>
      </c>
      <c r="M178" s="35">
        <v>887537.75</v>
      </c>
      <c r="N178" s="35">
        <v>160362.92000000001</v>
      </c>
    </row>
    <row r="179" spans="1:14">
      <c r="A179" s="35" t="s">
        <v>66</v>
      </c>
      <c r="B179" s="36">
        <v>45689</v>
      </c>
      <c r="C179" s="35" t="s">
        <v>27</v>
      </c>
      <c r="D179" s="35" t="s">
        <v>21</v>
      </c>
      <c r="E179" s="35">
        <v>29389.32</v>
      </c>
      <c r="F179" s="35">
        <v>7925</v>
      </c>
      <c r="G179" s="35">
        <v>0.17699999999999999</v>
      </c>
      <c r="H179" s="35">
        <v>21</v>
      </c>
      <c r="I179" s="35">
        <v>90.9</v>
      </c>
      <c r="J179" s="35">
        <v>7.86</v>
      </c>
      <c r="K179" s="35">
        <v>0</v>
      </c>
      <c r="L179" s="35">
        <v>4</v>
      </c>
      <c r="M179" s="35">
        <v>783582</v>
      </c>
      <c r="N179" s="35">
        <v>130670.93</v>
      </c>
    </row>
    <row r="180" spans="1:14">
      <c r="A180" s="35" t="s">
        <v>66</v>
      </c>
      <c r="B180" s="36">
        <v>45717</v>
      </c>
      <c r="C180" s="35" t="s">
        <v>27</v>
      </c>
      <c r="D180" s="35" t="s">
        <v>21</v>
      </c>
      <c r="E180" s="35">
        <v>40535.089999999997</v>
      </c>
      <c r="F180" s="35">
        <v>8870</v>
      </c>
      <c r="G180" s="35">
        <v>4.1000000000000002E-2</v>
      </c>
      <c r="H180" s="35">
        <v>21</v>
      </c>
      <c r="I180" s="35">
        <v>86.6</v>
      </c>
      <c r="J180" s="35">
        <v>0.3</v>
      </c>
      <c r="K180" s="35">
        <v>0</v>
      </c>
      <c r="L180" s="35">
        <v>4.0999999999999996</v>
      </c>
      <c r="M180" s="35">
        <v>781955.52</v>
      </c>
      <c r="N180" s="35">
        <v>152578.71</v>
      </c>
    </row>
    <row r="181" spans="1:14">
      <c r="A181" s="35" t="s">
        <v>66</v>
      </c>
      <c r="B181" s="36">
        <v>45748</v>
      </c>
      <c r="C181" s="35" t="s">
        <v>27</v>
      </c>
      <c r="D181" s="35" t="s">
        <v>21</v>
      </c>
      <c r="E181" s="35">
        <v>74881.56</v>
      </c>
      <c r="F181" s="35">
        <v>9999</v>
      </c>
      <c r="G181" s="35">
        <v>1.2999999999999999E-2</v>
      </c>
      <c r="H181" s="35">
        <v>20</v>
      </c>
      <c r="I181" s="35">
        <v>89.6</v>
      </c>
      <c r="J181" s="35">
        <v>8.44</v>
      </c>
      <c r="K181" s="35">
        <v>0</v>
      </c>
      <c r="L181" s="35">
        <v>4.0999999999999996</v>
      </c>
      <c r="M181" s="35">
        <v>898031.04</v>
      </c>
      <c r="N181" s="35">
        <v>138666.5</v>
      </c>
    </row>
    <row r="182" spans="1:14">
      <c r="A182" s="35" t="s">
        <v>67</v>
      </c>
      <c r="B182" s="36">
        <v>45658</v>
      </c>
      <c r="C182" s="35" t="s">
        <v>27</v>
      </c>
      <c r="D182" s="35" t="s">
        <v>16</v>
      </c>
      <c r="E182" s="35">
        <v>68491.11</v>
      </c>
      <c r="F182" s="35">
        <v>11154</v>
      </c>
      <c r="G182" s="35">
        <v>1E-3</v>
      </c>
      <c r="H182" s="35">
        <v>24</v>
      </c>
      <c r="I182" s="35">
        <v>89.4</v>
      </c>
      <c r="J182" s="35">
        <v>5.27</v>
      </c>
      <c r="K182" s="35">
        <v>1</v>
      </c>
      <c r="L182" s="35">
        <v>3.9</v>
      </c>
      <c r="M182" s="35">
        <v>855341.28</v>
      </c>
      <c r="N182" s="35">
        <v>175823.8</v>
      </c>
    </row>
    <row r="183" spans="1:14">
      <c r="A183" s="35" t="s">
        <v>67</v>
      </c>
      <c r="B183" s="36">
        <v>45689</v>
      </c>
      <c r="C183" s="35" t="s">
        <v>27</v>
      </c>
      <c r="D183" s="35" t="s">
        <v>16</v>
      </c>
      <c r="E183" s="35">
        <v>45209.25</v>
      </c>
      <c r="F183" s="35">
        <v>9287</v>
      </c>
      <c r="G183" s="35">
        <v>0.14099999999999999</v>
      </c>
      <c r="H183" s="35">
        <v>22</v>
      </c>
      <c r="I183" s="35">
        <v>86.4</v>
      </c>
      <c r="J183" s="35">
        <v>13.22</v>
      </c>
      <c r="K183" s="35">
        <v>0</v>
      </c>
      <c r="L183" s="35">
        <v>3.6</v>
      </c>
      <c r="M183" s="35">
        <v>751393.88</v>
      </c>
      <c r="N183" s="35">
        <v>91480.320000000007</v>
      </c>
    </row>
    <row r="184" spans="1:14">
      <c r="A184" s="35" t="s">
        <v>67</v>
      </c>
      <c r="B184" s="36">
        <v>45717</v>
      </c>
      <c r="C184" s="35" t="s">
        <v>27</v>
      </c>
      <c r="D184" s="35" t="s">
        <v>16</v>
      </c>
      <c r="E184" s="35">
        <v>63010.23</v>
      </c>
      <c r="F184" s="35">
        <v>9812</v>
      </c>
      <c r="G184" s="35">
        <v>0.113</v>
      </c>
      <c r="H184" s="35">
        <v>24</v>
      </c>
      <c r="I184" s="35">
        <v>76.8</v>
      </c>
      <c r="J184" s="35">
        <v>1.02</v>
      </c>
      <c r="K184" s="35">
        <v>1</v>
      </c>
      <c r="L184" s="35">
        <v>3.8</v>
      </c>
      <c r="M184" s="35">
        <v>761077.08</v>
      </c>
      <c r="N184" s="35">
        <v>113605.93</v>
      </c>
    </row>
    <row r="185" spans="1:14">
      <c r="A185" s="35" t="s">
        <v>67</v>
      </c>
      <c r="B185" s="36">
        <v>45748</v>
      </c>
      <c r="C185" s="35" t="s">
        <v>27</v>
      </c>
      <c r="D185" s="35" t="s">
        <v>16</v>
      </c>
      <c r="E185" s="35">
        <v>57948.88</v>
      </c>
      <c r="F185" s="35">
        <v>10741</v>
      </c>
      <c r="G185" s="35">
        <v>7.0000000000000007E-2</v>
      </c>
      <c r="H185" s="35">
        <v>25</v>
      </c>
      <c r="I185" s="35">
        <v>90.1</v>
      </c>
      <c r="J185" s="35">
        <v>4.03</v>
      </c>
      <c r="K185" s="35">
        <v>0</v>
      </c>
      <c r="L185" s="35">
        <v>3.1</v>
      </c>
      <c r="M185" s="35">
        <v>819660.59</v>
      </c>
      <c r="N185" s="35">
        <v>172699.95</v>
      </c>
    </row>
    <row r="186" spans="1:14">
      <c r="A186" s="35" t="s">
        <v>68</v>
      </c>
      <c r="B186" s="36">
        <v>45658</v>
      </c>
      <c r="C186" s="35" t="s">
        <v>20</v>
      </c>
      <c r="D186" s="35" t="s">
        <v>18</v>
      </c>
      <c r="E186" s="35">
        <v>71941.62</v>
      </c>
      <c r="F186" s="35">
        <v>6084</v>
      </c>
      <c r="G186" s="35">
        <v>7.1999999999999995E-2</v>
      </c>
      <c r="H186" s="35">
        <v>13</v>
      </c>
      <c r="I186" s="35">
        <v>93.7</v>
      </c>
      <c r="J186" s="35">
        <v>2.34</v>
      </c>
      <c r="K186" s="35">
        <v>0</v>
      </c>
      <c r="L186" s="35">
        <v>4.4000000000000004</v>
      </c>
      <c r="M186" s="35">
        <v>681855.56</v>
      </c>
      <c r="N186" s="35">
        <v>117645.61</v>
      </c>
    </row>
    <row r="187" spans="1:14">
      <c r="A187" s="35" t="s">
        <v>68</v>
      </c>
      <c r="B187" s="36">
        <v>45689</v>
      </c>
      <c r="C187" s="35" t="s">
        <v>20</v>
      </c>
      <c r="D187" s="35" t="s">
        <v>18</v>
      </c>
      <c r="E187" s="35">
        <v>57147.88</v>
      </c>
      <c r="F187" s="35">
        <v>5252</v>
      </c>
      <c r="G187" s="35">
        <v>0.161</v>
      </c>
      <c r="H187" s="35">
        <v>15</v>
      </c>
      <c r="I187" s="35">
        <v>95.5</v>
      </c>
      <c r="J187" s="35">
        <v>8.51</v>
      </c>
      <c r="K187" s="35">
        <v>0</v>
      </c>
      <c r="L187" s="35">
        <v>4.4000000000000004</v>
      </c>
      <c r="M187" s="35">
        <v>678311.17</v>
      </c>
      <c r="N187" s="35">
        <v>132029.76000000001</v>
      </c>
    </row>
    <row r="188" spans="1:14">
      <c r="A188" s="35" t="s">
        <v>68</v>
      </c>
      <c r="B188" s="36">
        <v>45717</v>
      </c>
      <c r="C188" s="35" t="s">
        <v>20</v>
      </c>
      <c r="D188" s="35" t="s">
        <v>18</v>
      </c>
      <c r="E188" s="35">
        <v>48031.74</v>
      </c>
      <c r="F188" s="35">
        <v>6516</v>
      </c>
      <c r="G188" s="35">
        <v>6.7000000000000004E-2</v>
      </c>
      <c r="H188" s="35">
        <v>14</v>
      </c>
      <c r="I188" s="35">
        <v>99</v>
      </c>
      <c r="J188" s="35">
        <v>0.48</v>
      </c>
      <c r="K188" s="35">
        <v>1</v>
      </c>
      <c r="L188" s="35">
        <v>4.3</v>
      </c>
      <c r="M188" s="35">
        <v>765906.95</v>
      </c>
      <c r="N188" s="35">
        <v>114005.9</v>
      </c>
    </row>
    <row r="189" spans="1:14">
      <c r="A189" s="35" t="s">
        <v>68</v>
      </c>
      <c r="B189" s="36">
        <v>45748</v>
      </c>
      <c r="C189" s="35" t="s">
        <v>20</v>
      </c>
      <c r="D189" s="35" t="s">
        <v>18</v>
      </c>
      <c r="E189" s="35">
        <v>72784.800000000003</v>
      </c>
      <c r="F189" s="35">
        <v>7932</v>
      </c>
      <c r="G189" s="35">
        <v>9.4E-2</v>
      </c>
      <c r="H189" s="35">
        <v>20</v>
      </c>
      <c r="I189" s="35">
        <v>74.900000000000006</v>
      </c>
      <c r="J189" s="35">
        <v>13.62</v>
      </c>
      <c r="K189" s="35">
        <v>0</v>
      </c>
      <c r="L189" s="35">
        <v>4.2</v>
      </c>
      <c r="M189" s="35">
        <v>712546.38</v>
      </c>
      <c r="N189" s="35">
        <v>101480.04</v>
      </c>
    </row>
    <row r="190" spans="1:14">
      <c r="A190" s="35" t="s">
        <v>69</v>
      </c>
      <c r="B190" s="36">
        <v>45658</v>
      </c>
      <c r="C190" s="35" t="s">
        <v>15</v>
      </c>
      <c r="D190" s="35" t="s">
        <v>18</v>
      </c>
      <c r="E190" s="35">
        <v>71641.899999999994</v>
      </c>
      <c r="F190" s="35">
        <v>3506</v>
      </c>
      <c r="G190" s="35">
        <v>0</v>
      </c>
      <c r="H190" s="35">
        <v>11</v>
      </c>
      <c r="I190" s="35">
        <v>86.4</v>
      </c>
      <c r="J190" s="35">
        <v>7.77</v>
      </c>
      <c r="K190" s="35">
        <v>0</v>
      </c>
      <c r="L190" s="35">
        <v>4.0999999999999996</v>
      </c>
      <c r="M190" s="35">
        <v>625993.82999999996</v>
      </c>
      <c r="N190" s="35">
        <v>98960.320000000007</v>
      </c>
    </row>
    <row r="191" spans="1:14">
      <c r="A191" s="35" t="s">
        <v>69</v>
      </c>
      <c r="B191" s="36">
        <v>45689</v>
      </c>
      <c r="C191" s="35" t="s">
        <v>15</v>
      </c>
      <c r="D191" s="35" t="s">
        <v>18</v>
      </c>
      <c r="E191" s="35">
        <v>55788.61</v>
      </c>
      <c r="F191" s="35">
        <v>2312</v>
      </c>
      <c r="G191" s="35">
        <v>5.8000000000000003E-2</v>
      </c>
      <c r="H191" s="35">
        <v>10</v>
      </c>
      <c r="I191" s="35">
        <v>91.3</v>
      </c>
      <c r="J191" s="35">
        <v>1.99</v>
      </c>
      <c r="K191" s="35">
        <v>0</v>
      </c>
      <c r="L191" s="35">
        <v>3.8</v>
      </c>
      <c r="M191" s="35">
        <v>550962.93000000005</v>
      </c>
      <c r="N191" s="35">
        <v>97144.58</v>
      </c>
    </row>
    <row r="192" spans="1:14">
      <c r="A192" s="35" t="s">
        <v>69</v>
      </c>
      <c r="B192" s="36">
        <v>45717</v>
      </c>
      <c r="C192" s="35" t="s">
        <v>15</v>
      </c>
      <c r="D192" s="35" t="s">
        <v>18</v>
      </c>
      <c r="E192" s="35">
        <v>37705.879999999997</v>
      </c>
      <c r="F192" s="35">
        <v>1268</v>
      </c>
      <c r="G192" s="35">
        <v>0.25900000000000001</v>
      </c>
      <c r="H192" s="35">
        <v>9</v>
      </c>
      <c r="I192" s="35">
        <v>84.1</v>
      </c>
      <c r="J192" s="35">
        <v>4.7699999999999996</v>
      </c>
      <c r="K192" s="35">
        <v>0</v>
      </c>
      <c r="L192" s="35">
        <v>3.8</v>
      </c>
      <c r="M192" s="35">
        <v>443275.59</v>
      </c>
      <c r="N192" s="35">
        <v>53544.36</v>
      </c>
    </row>
    <row r="193" spans="1:14">
      <c r="A193" s="35" t="s">
        <v>69</v>
      </c>
      <c r="B193" s="36">
        <v>45748</v>
      </c>
      <c r="C193" s="35" t="s">
        <v>15</v>
      </c>
      <c r="D193" s="35" t="s">
        <v>18</v>
      </c>
      <c r="E193" s="35">
        <v>54966.18</v>
      </c>
      <c r="F193" s="35">
        <v>4423</v>
      </c>
      <c r="G193" s="35">
        <v>0.186</v>
      </c>
      <c r="H193" s="35">
        <v>13</v>
      </c>
      <c r="I193" s="35">
        <v>88.7</v>
      </c>
      <c r="J193" s="35">
        <v>0.2</v>
      </c>
      <c r="K193" s="35">
        <v>0</v>
      </c>
      <c r="L193" s="35">
        <v>4.4000000000000004</v>
      </c>
      <c r="M193" s="35">
        <v>554012.06999999995</v>
      </c>
      <c r="N193" s="35">
        <v>81101.62</v>
      </c>
    </row>
    <row r="194" spans="1:14">
      <c r="A194" s="35" t="s">
        <v>70</v>
      </c>
      <c r="B194" s="36">
        <v>45658</v>
      </c>
      <c r="C194" s="35" t="s">
        <v>27</v>
      </c>
      <c r="D194" s="35" t="s">
        <v>16</v>
      </c>
      <c r="E194" s="35">
        <v>81796.740000000005</v>
      </c>
      <c r="F194" s="35">
        <v>6177</v>
      </c>
      <c r="G194" s="35">
        <v>0.16400000000000001</v>
      </c>
      <c r="H194" s="35">
        <v>14</v>
      </c>
      <c r="I194" s="35">
        <v>87.9</v>
      </c>
      <c r="J194" s="35">
        <v>0.53</v>
      </c>
      <c r="K194" s="35">
        <v>0</v>
      </c>
      <c r="L194" s="35">
        <v>3.2</v>
      </c>
      <c r="M194" s="35">
        <v>643428.85</v>
      </c>
      <c r="N194" s="35">
        <v>94477.63</v>
      </c>
    </row>
    <row r="195" spans="1:14">
      <c r="A195" s="35" t="s">
        <v>70</v>
      </c>
      <c r="B195" s="36">
        <v>45689</v>
      </c>
      <c r="C195" s="35" t="s">
        <v>27</v>
      </c>
      <c r="D195" s="35" t="s">
        <v>16</v>
      </c>
      <c r="E195" s="35">
        <v>51133.43</v>
      </c>
      <c r="F195" s="35">
        <v>5150</v>
      </c>
      <c r="G195" s="35">
        <v>0.15</v>
      </c>
      <c r="H195" s="35">
        <v>12</v>
      </c>
      <c r="I195" s="35">
        <v>88.5</v>
      </c>
      <c r="J195" s="35">
        <v>1.54</v>
      </c>
      <c r="K195" s="35">
        <v>0</v>
      </c>
      <c r="L195" s="35">
        <v>3.2</v>
      </c>
      <c r="M195" s="35">
        <v>611924.27</v>
      </c>
      <c r="N195" s="35">
        <v>115488.75</v>
      </c>
    </row>
    <row r="196" spans="1:14">
      <c r="A196" s="35" t="s">
        <v>70</v>
      </c>
      <c r="B196" s="36">
        <v>45717</v>
      </c>
      <c r="C196" s="35" t="s">
        <v>27</v>
      </c>
      <c r="D196" s="35" t="s">
        <v>16</v>
      </c>
      <c r="E196" s="35">
        <v>40220.18</v>
      </c>
      <c r="F196" s="35">
        <v>3783</v>
      </c>
      <c r="G196" s="35">
        <v>8.8999999999999996E-2</v>
      </c>
      <c r="H196" s="35">
        <v>14</v>
      </c>
      <c r="I196" s="35">
        <v>86.6</v>
      </c>
      <c r="J196" s="35">
        <v>3.63</v>
      </c>
      <c r="K196" s="35">
        <v>0</v>
      </c>
      <c r="L196" s="35">
        <v>3.7</v>
      </c>
      <c r="M196" s="35">
        <v>559422.02</v>
      </c>
      <c r="N196" s="35">
        <v>73528.740000000005</v>
      </c>
    </row>
    <row r="197" spans="1:14">
      <c r="A197" s="35" t="s">
        <v>70</v>
      </c>
      <c r="B197" s="36">
        <v>45748</v>
      </c>
      <c r="C197" s="35" t="s">
        <v>27</v>
      </c>
      <c r="D197" s="35" t="s">
        <v>16</v>
      </c>
      <c r="E197" s="35">
        <v>41657.64</v>
      </c>
      <c r="F197" s="35">
        <v>3135</v>
      </c>
      <c r="G197" s="35">
        <v>0.22900000000000001</v>
      </c>
      <c r="H197" s="35">
        <v>7</v>
      </c>
      <c r="I197" s="35">
        <v>85.4</v>
      </c>
      <c r="J197" s="35">
        <v>13.48</v>
      </c>
      <c r="K197" s="35">
        <v>0</v>
      </c>
      <c r="L197" s="35"/>
      <c r="M197" s="35">
        <v>449465.06</v>
      </c>
      <c r="N197" s="35">
        <v>65694.78</v>
      </c>
    </row>
    <row r="198" spans="1:14">
      <c r="A198" s="35" t="s">
        <v>71</v>
      </c>
      <c r="B198" s="36">
        <v>45658</v>
      </c>
      <c r="C198" s="35" t="s">
        <v>20</v>
      </c>
      <c r="D198" s="35" t="s">
        <v>16</v>
      </c>
      <c r="E198" s="35">
        <v>71851.45</v>
      </c>
      <c r="F198" s="35">
        <v>4970</v>
      </c>
      <c r="G198" s="35">
        <v>9.8000000000000004E-2</v>
      </c>
      <c r="H198" s="35">
        <v>11</v>
      </c>
      <c r="I198" s="35">
        <v>89.6</v>
      </c>
      <c r="J198" s="35">
        <v>0.2</v>
      </c>
      <c r="K198" s="35">
        <v>0</v>
      </c>
      <c r="L198" s="35">
        <v>4.2</v>
      </c>
      <c r="M198" s="35">
        <v>691447.43</v>
      </c>
      <c r="N198" s="35">
        <v>114077.69</v>
      </c>
    </row>
    <row r="199" spans="1:14">
      <c r="A199" s="35" t="s">
        <v>71</v>
      </c>
      <c r="B199" s="36">
        <v>45689</v>
      </c>
      <c r="C199" s="35" t="s">
        <v>20</v>
      </c>
      <c r="D199" s="35" t="s">
        <v>16</v>
      </c>
      <c r="E199" s="35">
        <v>54002.83</v>
      </c>
      <c r="F199" s="35">
        <v>4366</v>
      </c>
      <c r="G199" s="35">
        <v>2.7E-2</v>
      </c>
      <c r="H199" s="35">
        <v>15</v>
      </c>
      <c r="I199" s="35">
        <v>90.6</v>
      </c>
      <c r="J199" s="35">
        <v>12.82</v>
      </c>
      <c r="K199" s="35">
        <v>0</v>
      </c>
      <c r="L199" s="35">
        <v>4.5999999999999996</v>
      </c>
      <c r="M199" s="35">
        <v>574066.61</v>
      </c>
      <c r="N199" s="35">
        <v>124674.67</v>
      </c>
    </row>
    <row r="200" spans="1:14">
      <c r="A200" s="35" t="s">
        <v>71</v>
      </c>
      <c r="B200" s="36">
        <v>45717</v>
      </c>
      <c r="C200" s="35" t="s">
        <v>20</v>
      </c>
      <c r="D200" s="35" t="s">
        <v>16</v>
      </c>
      <c r="E200" s="35">
        <v>54479.33</v>
      </c>
      <c r="F200" s="35">
        <v>5012</v>
      </c>
      <c r="G200" s="35">
        <v>0.28399999999999997</v>
      </c>
      <c r="H200" s="35">
        <v>13</v>
      </c>
      <c r="I200" s="35">
        <v>86</v>
      </c>
      <c r="J200" s="35">
        <v>2.2400000000000002</v>
      </c>
      <c r="K200" s="35">
        <v>1</v>
      </c>
      <c r="L200" s="35">
        <v>4.3</v>
      </c>
      <c r="M200" s="35">
        <v>578949.84</v>
      </c>
      <c r="N200" s="35">
        <v>80253.649999999994</v>
      </c>
    </row>
    <row r="201" spans="1:14">
      <c r="A201" s="35" t="s">
        <v>71</v>
      </c>
      <c r="B201" s="36">
        <v>45748</v>
      </c>
      <c r="C201" s="35" t="s">
        <v>20</v>
      </c>
      <c r="D201" s="35" t="s">
        <v>16</v>
      </c>
      <c r="E201" s="35">
        <v>61391.8</v>
      </c>
      <c r="F201" s="35">
        <v>5575</v>
      </c>
      <c r="G201" s="35">
        <v>0.189</v>
      </c>
      <c r="H201" s="35">
        <v>18</v>
      </c>
      <c r="I201" s="35">
        <v>90</v>
      </c>
      <c r="J201" s="35">
        <v>1.8</v>
      </c>
      <c r="K201" s="35">
        <v>0</v>
      </c>
      <c r="L201" s="35">
        <v>4.8</v>
      </c>
      <c r="M201" s="35">
        <v>735786.64</v>
      </c>
      <c r="N201" s="35">
        <v>126540.66</v>
      </c>
    </row>
    <row r="202" spans="1:14">
      <c r="A202" s="35" t="s">
        <v>72</v>
      </c>
      <c r="B202" s="36">
        <v>45658</v>
      </c>
      <c r="C202" s="35" t="s">
        <v>15</v>
      </c>
      <c r="D202" s="35" t="s">
        <v>21</v>
      </c>
      <c r="E202" s="35">
        <v>22312.93</v>
      </c>
      <c r="F202" s="35">
        <v>5955</v>
      </c>
      <c r="G202" s="35">
        <v>0.123</v>
      </c>
      <c r="H202" s="35">
        <v>13</v>
      </c>
      <c r="I202" s="35">
        <v>84.2</v>
      </c>
      <c r="J202" s="35">
        <v>0.41</v>
      </c>
      <c r="K202" s="35">
        <v>1</v>
      </c>
      <c r="L202" s="35">
        <v>4.5999999999999996</v>
      </c>
      <c r="M202" s="35">
        <v>598904.9</v>
      </c>
      <c r="N202" s="35">
        <v>72861</v>
      </c>
    </row>
    <row r="203" spans="1:14">
      <c r="A203" s="35" t="s">
        <v>72</v>
      </c>
      <c r="B203" s="36">
        <v>45689</v>
      </c>
      <c r="C203" s="35" t="s">
        <v>15</v>
      </c>
      <c r="D203" s="35" t="s">
        <v>21</v>
      </c>
      <c r="E203" s="35">
        <v>78111.97</v>
      </c>
      <c r="F203" s="35">
        <v>6389</v>
      </c>
      <c r="G203" s="35">
        <v>0.15</v>
      </c>
      <c r="H203" s="35">
        <v>13</v>
      </c>
      <c r="I203" s="35">
        <v>83.9</v>
      </c>
      <c r="J203" s="35">
        <v>3.05</v>
      </c>
      <c r="K203" s="35">
        <v>0</v>
      </c>
      <c r="L203" s="35">
        <v>4.8</v>
      </c>
      <c r="M203" s="35">
        <v>787715.51</v>
      </c>
      <c r="N203" s="35">
        <v>128969.62</v>
      </c>
    </row>
    <row r="204" spans="1:14">
      <c r="A204" s="35" t="s">
        <v>72</v>
      </c>
      <c r="B204" s="36">
        <v>45717</v>
      </c>
      <c r="C204" s="35" t="s">
        <v>15</v>
      </c>
      <c r="D204" s="35" t="s">
        <v>21</v>
      </c>
      <c r="E204" s="35">
        <v>35203.230000000003</v>
      </c>
      <c r="F204" s="35">
        <v>6896</v>
      </c>
      <c r="G204" s="35">
        <v>3.2000000000000001E-2</v>
      </c>
      <c r="H204" s="35">
        <v>14</v>
      </c>
      <c r="I204" s="35">
        <v>80.8</v>
      </c>
      <c r="J204" s="35">
        <v>8.44</v>
      </c>
      <c r="K204" s="35">
        <v>1</v>
      </c>
      <c r="L204" s="35">
        <v>5</v>
      </c>
      <c r="M204" s="35">
        <v>607084.92000000004</v>
      </c>
      <c r="N204" s="35">
        <v>98558.49</v>
      </c>
    </row>
    <row r="205" spans="1:14">
      <c r="A205" s="35" t="s">
        <v>72</v>
      </c>
      <c r="B205" s="36">
        <v>45748</v>
      </c>
      <c r="C205" s="35" t="s">
        <v>15</v>
      </c>
      <c r="D205" s="35" t="s">
        <v>21</v>
      </c>
      <c r="E205" s="35">
        <v>64104.28</v>
      </c>
      <c r="F205" s="35">
        <v>6015</v>
      </c>
      <c r="G205" s="35">
        <v>0.127</v>
      </c>
      <c r="H205" s="35">
        <v>15</v>
      </c>
      <c r="I205" s="35">
        <v>88.7</v>
      </c>
      <c r="J205" s="35">
        <v>0.78</v>
      </c>
      <c r="K205" s="35">
        <v>0</v>
      </c>
      <c r="L205" s="35">
        <v>4</v>
      </c>
      <c r="M205" s="35">
        <v>650795.49</v>
      </c>
      <c r="N205" s="35">
        <v>103035.89</v>
      </c>
    </row>
    <row r="206" spans="1:14">
      <c r="A206" s="35" t="s">
        <v>73</v>
      </c>
      <c r="B206" s="36">
        <v>45658</v>
      </c>
      <c r="C206" s="35" t="s">
        <v>15</v>
      </c>
      <c r="D206" s="35" t="s">
        <v>28</v>
      </c>
      <c r="E206" s="35">
        <v>92090.14</v>
      </c>
      <c r="F206" s="35">
        <v>9476</v>
      </c>
      <c r="G206" s="35">
        <v>7.0000000000000007E-2</v>
      </c>
      <c r="H206" s="35">
        <v>24</v>
      </c>
      <c r="I206" s="35">
        <v>94.3</v>
      </c>
      <c r="J206" s="35">
        <v>0.87</v>
      </c>
      <c r="K206" s="35">
        <v>0</v>
      </c>
      <c r="L206" s="35">
        <v>3.7</v>
      </c>
      <c r="M206" s="35">
        <v>825060.52</v>
      </c>
      <c r="N206" s="35">
        <v>143613.15</v>
      </c>
    </row>
    <row r="207" spans="1:14">
      <c r="A207" s="35" t="s">
        <v>73</v>
      </c>
      <c r="B207" s="36">
        <v>45689</v>
      </c>
      <c r="C207" s="35" t="s">
        <v>15</v>
      </c>
      <c r="D207" s="35" t="s">
        <v>28</v>
      </c>
      <c r="E207" s="35">
        <v>54300.87</v>
      </c>
      <c r="F207" s="35">
        <v>7875</v>
      </c>
      <c r="G207" s="35">
        <v>0.107</v>
      </c>
      <c r="H207" s="35">
        <v>19</v>
      </c>
      <c r="I207" s="35">
        <v>94.1</v>
      </c>
      <c r="J207" s="35">
        <v>0.95</v>
      </c>
      <c r="K207" s="35">
        <v>0</v>
      </c>
      <c r="L207" s="35">
        <v>3.7</v>
      </c>
      <c r="M207" s="35">
        <v>795464.47</v>
      </c>
      <c r="N207" s="35">
        <v>161150.51999999999</v>
      </c>
    </row>
    <row r="208" spans="1:14">
      <c r="A208" s="35" t="s">
        <v>73</v>
      </c>
      <c r="B208" s="36">
        <v>45717</v>
      </c>
      <c r="C208" s="35" t="s">
        <v>15</v>
      </c>
      <c r="D208" s="35" t="s">
        <v>28</v>
      </c>
      <c r="E208" s="35">
        <v>37983.35</v>
      </c>
      <c r="F208" s="35">
        <v>9283</v>
      </c>
      <c r="G208" s="35">
        <v>0.14899999999999999</v>
      </c>
      <c r="H208" s="35">
        <v>19</v>
      </c>
      <c r="I208" s="35">
        <v>83.2</v>
      </c>
      <c r="J208" s="35">
        <v>3.82</v>
      </c>
      <c r="K208" s="35">
        <v>0</v>
      </c>
      <c r="L208" s="35">
        <v>3.7</v>
      </c>
      <c r="M208" s="35">
        <v>671868.59</v>
      </c>
      <c r="N208" s="35">
        <v>71003.28</v>
      </c>
    </row>
    <row r="209" spans="1:14">
      <c r="A209" s="35" t="s">
        <v>73</v>
      </c>
      <c r="B209" s="36">
        <v>45748</v>
      </c>
      <c r="C209" s="35" t="s">
        <v>15</v>
      </c>
      <c r="D209" s="35" t="s">
        <v>28</v>
      </c>
      <c r="E209" s="35">
        <v>56413.83</v>
      </c>
      <c r="F209" s="35">
        <v>8303</v>
      </c>
      <c r="G209" s="35">
        <v>0.11600000000000001</v>
      </c>
      <c r="H209" s="35">
        <v>18</v>
      </c>
      <c r="I209" s="35">
        <v>93.6</v>
      </c>
      <c r="J209" s="35">
        <v>2.7</v>
      </c>
      <c r="K209" s="35">
        <v>0</v>
      </c>
      <c r="L209" s="35">
        <v>3.7</v>
      </c>
      <c r="M209" s="35">
        <v>675917.63</v>
      </c>
      <c r="N209" s="35">
        <v>112564.75</v>
      </c>
    </row>
    <row r="210" spans="1:14">
      <c r="A210" s="35" t="s">
        <v>74</v>
      </c>
      <c r="B210" s="36">
        <v>45658</v>
      </c>
      <c r="C210" s="35" t="s">
        <v>15</v>
      </c>
      <c r="D210" s="35" t="s">
        <v>18</v>
      </c>
      <c r="E210" s="35">
        <v>63457.19</v>
      </c>
      <c r="F210" s="35">
        <v>10125</v>
      </c>
      <c r="G210" s="35">
        <v>9.7000000000000003E-2</v>
      </c>
      <c r="H210" s="35">
        <v>24</v>
      </c>
      <c r="I210" s="35">
        <v>87</v>
      </c>
      <c r="J210" s="35">
        <v>3.84</v>
      </c>
      <c r="K210" s="35">
        <v>1</v>
      </c>
      <c r="L210" s="35">
        <v>3.7</v>
      </c>
      <c r="M210" s="35">
        <v>810446.53</v>
      </c>
      <c r="N210" s="35">
        <v>200575.34</v>
      </c>
    </row>
    <row r="211" spans="1:14">
      <c r="A211" s="35" t="s">
        <v>74</v>
      </c>
      <c r="B211" s="36">
        <v>45689</v>
      </c>
      <c r="C211" s="35" t="s">
        <v>15</v>
      </c>
      <c r="D211" s="35" t="s">
        <v>18</v>
      </c>
      <c r="E211" s="35">
        <v>62949.7</v>
      </c>
      <c r="F211" s="35">
        <v>9458</v>
      </c>
      <c r="G211" s="35">
        <v>0.17100000000000001</v>
      </c>
      <c r="H211" s="35">
        <v>19</v>
      </c>
      <c r="I211" s="35">
        <v>84.9</v>
      </c>
      <c r="J211" s="35">
        <v>5.09</v>
      </c>
      <c r="K211" s="35">
        <v>0</v>
      </c>
      <c r="L211" s="35">
        <v>3.3</v>
      </c>
      <c r="M211" s="35">
        <v>691288.19</v>
      </c>
      <c r="N211" s="35">
        <v>159074.14000000001</v>
      </c>
    </row>
    <row r="212" spans="1:14">
      <c r="A212" s="35" t="s">
        <v>74</v>
      </c>
      <c r="B212" s="36">
        <v>45717</v>
      </c>
      <c r="C212" s="35" t="s">
        <v>15</v>
      </c>
      <c r="D212" s="35" t="s">
        <v>18</v>
      </c>
      <c r="E212" s="35">
        <v>107970.19</v>
      </c>
      <c r="F212" s="35">
        <v>12870</v>
      </c>
      <c r="G212" s="35">
        <v>2.9000000000000001E-2</v>
      </c>
      <c r="H212" s="35">
        <v>31</v>
      </c>
      <c r="I212" s="35">
        <v>91.7</v>
      </c>
      <c r="J212" s="35">
        <v>3.82</v>
      </c>
      <c r="K212" s="35">
        <v>1</v>
      </c>
      <c r="L212" s="35">
        <v>3.7</v>
      </c>
      <c r="M212" s="35">
        <v>946833.54</v>
      </c>
      <c r="N212" s="35">
        <v>184540.31</v>
      </c>
    </row>
    <row r="213" spans="1:14">
      <c r="A213" s="35" t="s">
        <v>74</v>
      </c>
      <c r="B213" s="36">
        <v>45748</v>
      </c>
      <c r="C213" s="35" t="s">
        <v>15</v>
      </c>
      <c r="D213" s="35" t="s">
        <v>18</v>
      </c>
      <c r="E213" s="35">
        <v>49405.75</v>
      </c>
      <c r="F213" s="35">
        <v>9752</v>
      </c>
      <c r="G213" s="35">
        <v>9.2999999999999999E-2</v>
      </c>
      <c r="H213" s="35">
        <v>21</v>
      </c>
      <c r="I213" s="35">
        <v>87</v>
      </c>
      <c r="J213" s="35">
        <v>12.28</v>
      </c>
      <c r="K213" s="35">
        <v>0</v>
      </c>
      <c r="L213" s="35">
        <v>4.0999999999999996</v>
      </c>
      <c r="M213" s="35">
        <v>761963.23</v>
      </c>
      <c r="N213" s="35">
        <v>150113.60999999999</v>
      </c>
    </row>
    <row r="214" spans="1:14">
      <c r="A214" s="35" t="s">
        <v>75</v>
      </c>
      <c r="B214" s="36">
        <v>45658</v>
      </c>
      <c r="C214" s="35" t="s">
        <v>27</v>
      </c>
      <c r="D214" s="35" t="s">
        <v>16</v>
      </c>
      <c r="E214" s="35">
        <v>50887.46</v>
      </c>
      <c r="F214" s="35">
        <v>9505</v>
      </c>
      <c r="G214" s="35">
        <v>9.0999999999999998E-2</v>
      </c>
      <c r="H214" s="35">
        <v>25</v>
      </c>
      <c r="I214" s="35">
        <v>89.7</v>
      </c>
      <c r="J214" s="35">
        <v>2.8</v>
      </c>
      <c r="K214" s="35">
        <v>0</v>
      </c>
      <c r="L214" s="35">
        <v>4.3</v>
      </c>
      <c r="M214" s="35">
        <v>812152.6</v>
      </c>
      <c r="N214" s="35">
        <v>138419.43</v>
      </c>
    </row>
    <row r="215" spans="1:14">
      <c r="A215" s="35" t="s">
        <v>75</v>
      </c>
      <c r="B215" s="36">
        <v>45689</v>
      </c>
      <c r="C215" s="35" t="s">
        <v>27</v>
      </c>
      <c r="D215" s="35" t="s">
        <v>16</v>
      </c>
      <c r="E215" s="35">
        <v>41819.449999999997</v>
      </c>
      <c r="F215" s="35">
        <v>9412</v>
      </c>
      <c r="G215" s="35">
        <v>0.15</v>
      </c>
      <c r="H215" s="35">
        <v>22</v>
      </c>
      <c r="I215" s="35">
        <v>91</v>
      </c>
      <c r="J215" s="35">
        <v>3.67</v>
      </c>
      <c r="K215" s="35">
        <v>0</v>
      </c>
      <c r="L215" s="35">
        <v>4.2</v>
      </c>
      <c r="M215" s="35">
        <v>804975.5</v>
      </c>
      <c r="N215" s="35">
        <v>140054.5</v>
      </c>
    </row>
    <row r="216" spans="1:14">
      <c r="A216" s="35" t="s">
        <v>75</v>
      </c>
      <c r="B216" s="36">
        <v>45717</v>
      </c>
      <c r="C216" s="35" t="s">
        <v>27</v>
      </c>
      <c r="D216" s="35" t="s">
        <v>16</v>
      </c>
      <c r="E216" s="35">
        <v>35296.54</v>
      </c>
      <c r="F216" s="35">
        <v>9644</v>
      </c>
      <c r="G216" s="35">
        <v>0</v>
      </c>
      <c r="H216" s="35">
        <v>22</v>
      </c>
      <c r="I216" s="35">
        <v>88</v>
      </c>
      <c r="J216" s="35">
        <v>2.81</v>
      </c>
      <c r="K216" s="35">
        <v>0</v>
      </c>
      <c r="L216" s="35">
        <v>4.7</v>
      </c>
      <c r="M216" s="35">
        <v>752321.72</v>
      </c>
      <c r="N216" s="35">
        <v>137788.51</v>
      </c>
    </row>
    <row r="217" spans="1:14">
      <c r="A217" s="35" t="s">
        <v>75</v>
      </c>
      <c r="B217" s="36">
        <v>45748</v>
      </c>
      <c r="C217" s="35" t="s">
        <v>27</v>
      </c>
      <c r="D217" s="35" t="s">
        <v>16</v>
      </c>
      <c r="E217" s="35">
        <v>47391.09</v>
      </c>
      <c r="F217" s="35">
        <v>11224</v>
      </c>
      <c r="G217" s="35">
        <v>0.14699999999999999</v>
      </c>
      <c r="H217" s="35">
        <v>25</v>
      </c>
      <c r="I217" s="35">
        <v>88.4</v>
      </c>
      <c r="J217" s="35">
        <v>2.44</v>
      </c>
      <c r="K217" s="35">
        <v>0</v>
      </c>
      <c r="L217" s="35">
        <v>4.9000000000000004</v>
      </c>
      <c r="M217" s="35">
        <v>836908.24</v>
      </c>
      <c r="N217" s="35">
        <v>141090.26</v>
      </c>
    </row>
    <row r="218" spans="1:14">
      <c r="A218" s="35" t="s">
        <v>76</v>
      </c>
      <c r="B218" s="36">
        <v>45658</v>
      </c>
      <c r="C218" s="35" t="s">
        <v>20</v>
      </c>
      <c r="D218" s="35" t="s">
        <v>21</v>
      </c>
      <c r="E218" s="35">
        <v>69180.539999999994</v>
      </c>
      <c r="F218" s="35">
        <v>5394</v>
      </c>
      <c r="G218" s="35">
        <v>0.126</v>
      </c>
      <c r="H218" s="35">
        <v>12</v>
      </c>
      <c r="I218" s="35">
        <v>82.9</v>
      </c>
      <c r="J218" s="35">
        <v>3.27</v>
      </c>
      <c r="K218" s="35">
        <v>0</v>
      </c>
      <c r="L218" s="35">
        <v>3.3</v>
      </c>
      <c r="M218" s="35">
        <v>674289.1</v>
      </c>
      <c r="N218" s="35">
        <v>117773.79</v>
      </c>
    </row>
    <row r="219" spans="1:14">
      <c r="A219" s="35" t="s">
        <v>76</v>
      </c>
      <c r="B219" s="36">
        <v>45689</v>
      </c>
      <c r="C219" s="35" t="s">
        <v>20</v>
      </c>
      <c r="D219" s="35" t="s">
        <v>21</v>
      </c>
      <c r="E219" s="35">
        <v>33987.33</v>
      </c>
      <c r="F219" s="35">
        <v>5014</v>
      </c>
      <c r="G219" s="35">
        <v>0.246</v>
      </c>
      <c r="H219" s="35">
        <v>17</v>
      </c>
      <c r="I219" s="35">
        <v>94.3</v>
      </c>
      <c r="J219" s="35">
        <v>10.34</v>
      </c>
      <c r="K219" s="35">
        <v>0</v>
      </c>
      <c r="L219" s="35">
        <v>3.9</v>
      </c>
      <c r="M219" s="35">
        <v>622892.42000000004</v>
      </c>
      <c r="N219" s="35">
        <v>101032.52</v>
      </c>
    </row>
    <row r="220" spans="1:14">
      <c r="A220" s="35" t="s">
        <v>76</v>
      </c>
      <c r="B220" s="36">
        <v>45717</v>
      </c>
      <c r="C220" s="35" t="s">
        <v>20</v>
      </c>
      <c r="D220" s="35" t="s">
        <v>21</v>
      </c>
      <c r="E220" s="35">
        <v>58785.33</v>
      </c>
      <c r="F220" s="35">
        <v>4467</v>
      </c>
      <c r="G220" s="35">
        <v>0.22900000000000001</v>
      </c>
      <c r="H220" s="35">
        <v>14</v>
      </c>
      <c r="I220" s="35">
        <v>90.7</v>
      </c>
      <c r="J220" s="35">
        <v>1.92</v>
      </c>
      <c r="K220" s="35">
        <v>0</v>
      </c>
      <c r="L220" s="35">
        <v>3.7</v>
      </c>
      <c r="M220" s="35">
        <v>673348.56</v>
      </c>
      <c r="N220" s="35">
        <v>69464.59</v>
      </c>
    </row>
    <row r="221" spans="1:14">
      <c r="A221" s="35" t="s">
        <v>76</v>
      </c>
      <c r="B221" s="36">
        <v>45748</v>
      </c>
      <c r="C221" s="35" t="s">
        <v>20</v>
      </c>
      <c r="D221" s="35" t="s">
        <v>21</v>
      </c>
      <c r="E221" s="35">
        <v>16451.849999999999</v>
      </c>
      <c r="F221" s="35">
        <v>4678</v>
      </c>
      <c r="G221" s="35">
        <v>0.13300000000000001</v>
      </c>
      <c r="H221" s="35">
        <v>11</v>
      </c>
      <c r="I221" s="35">
        <v>95.9</v>
      </c>
      <c r="J221" s="35">
        <v>3.1</v>
      </c>
      <c r="K221" s="35">
        <v>0</v>
      </c>
      <c r="L221" s="35">
        <v>3.9</v>
      </c>
      <c r="M221" s="35">
        <v>606278.30000000005</v>
      </c>
      <c r="N221" s="35">
        <v>102213.26</v>
      </c>
    </row>
    <row r="222" spans="1:14">
      <c r="A222" s="35" t="s">
        <v>77</v>
      </c>
      <c r="B222" s="36">
        <v>45658</v>
      </c>
      <c r="C222" s="35" t="s">
        <v>15</v>
      </c>
      <c r="D222" s="35" t="s">
        <v>18</v>
      </c>
      <c r="E222" s="35">
        <v>53367.73</v>
      </c>
      <c r="F222" s="35">
        <v>7291</v>
      </c>
      <c r="G222" s="35">
        <v>0.14599999999999999</v>
      </c>
      <c r="H222" s="35">
        <v>18</v>
      </c>
      <c r="I222" s="35">
        <v>90.6</v>
      </c>
      <c r="J222" s="35">
        <v>6.34</v>
      </c>
      <c r="K222" s="35">
        <v>1</v>
      </c>
      <c r="L222" s="35">
        <v>3.8</v>
      </c>
      <c r="M222" s="35">
        <v>712219.81</v>
      </c>
      <c r="N222" s="35">
        <v>85906.54</v>
      </c>
    </row>
    <row r="223" spans="1:14">
      <c r="A223" s="35" t="s">
        <v>77</v>
      </c>
      <c r="B223" s="36">
        <v>45689</v>
      </c>
      <c r="C223" s="35" t="s">
        <v>15</v>
      </c>
      <c r="D223" s="35" t="s">
        <v>18</v>
      </c>
      <c r="E223" s="35">
        <v>27194.639999999999</v>
      </c>
      <c r="F223" s="35">
        <v>7404</v>
      </c>
      <c r="G223" s="35">
        <v>8.7999999999999995E-2</v>
      </c>
      <c r="H223" s="35">
        <v>18</v>
      </c>
      <c r="I223" s="35">
        <v>90.2</v>
      </c>
      <c r="J223" s="35">
        <v>1.2</v>
      </c>
      <c r="K223" s="35">
        <v>0</v>
      </c>
      <c r="L223" s="35">
        <v>3.4</v>
      </c>
      <c r="M223" s="35">
        <v>672670.54</v>
      </c>
      <c r="N223" s="35">
        <v>132684.18</v>
      </c>
    </row>
    <row r="224" spans="1:14">
      <c r="A224" s="35" t="s">
        <v>77</v>
      </c>
      <c r="B224" s="36">
        <v>45717</v>
      </c>
      <c r="C224" s="35" t="s">
        <v>15</v>
      </c>
      <c r="D224" s="35" t="s">
        <v>18</v>
      </c>
      <c r="E224" s="35">
        <v>66962.740000000005</v>
      </c>
      <c r="F224" s="35">
        <v>7880</v>
      </c>
      <c r="G224" s="35">
        <v>0.11600000000000001</v>
      </c>
      <c r="H224" s="35">
        <v>19</v>
      </c>
      <c r="I224" s="35">
        <v>90.4</v>
      </c>
      <c r="J224" s="35">
        <v>4.5</v>
      </c>
      <c r="K224" s="35">
        <v>0</v>
      </c>
      <c r="L224" s="35">
        <v>3.3</v>
      </c>
      <c r="M224" s="35">
        <v>732667.92</v>
      </c>
      <c r="N224" s="35">
        <v>128654.46</v>
      </c>
    </row>
    <row r="225" spans="1:14">
      <c r="A225" s="35" t="s">
        <v>77</v>
      </c>
      <c r="B225" s="36">
        <v>45748</v>
      </c>
      <c r="C225" s="35" t="s">
        <v>15</v>
      </c>
      <c r="D225" s="35" t="s">
        <v>18</v>
      </c>
      <c r="E225" s="35">
        <v>73540.990000000005</v>
      </c>
      <c r="F225" s="35">
        <v>8773</v>
      </c>
      <c r="G225" s="35">
        <v>3.5000000000000003E-2</v>
      </c>
      <c r="H225" s="35">
        <v>21</v>
      </c>
      <c r="I225" s="35">
        <v>84.4</v>
      </c>
      <c r="J225" s="35">
        <v>6.68</v>
      </c>
      <c r="K225" s="35">
        <v>0</v>
      </c>
      <c r="L225" s="35">
        <v>3.6</v>
      </c>
      <c r="M225" s="35">
        <v>723531.4</v>
      </c>
      <c r="N225" s="35">
        <v>108794.85</v>
      </c>
    </row>
    <row r="226" spans="1:14">
      <c r="A226" s="35" t="s">
        <v>78</v>
      </c>
      <c r="B226" s="36">
        <v>45658</v>
      </c>
      <c r="C226" s="35" t="s">
        <v>15</v>
      </c>
      <c r="D226" s="35" t="s">
        <v>28</v>
      </c>
      <c r="E226" s="35">
        <v>68212.289999999994</v>
      </c>
      <c r="F226" s="35">
        <v>4713</v>
      </c>
      <c r="G226" s="35">
        <v>0.19800000000000001</v>
      </c>
      <c r="H226" s="35">
        <v>15</v>
      </c>
      <c r="I226" s="35">
        <v>82.6</v>
      </c>
      <c r="J226" s="35">
        <v>4.07</v>
      </c>
      <c r="K226" s="35">
        <v>1</v>
      </c>
      <c r="L226" s="35">
        <v>3</v>
      </c>
      <c r="M226" s="35">
        <v>641564.6</v>
      </c>
      <c r="N226" s="35">
        <v>90468.96</v>
      </c>
    </row>
    <row r="227" spans="1:14">
      <c r="A227" s="35" t="s">
        <v>78</v>
      </c>
      <c r="B227" s="36">
        <v>45689</v>
      </c>
      <c r="C227" s="35" t="s">
        <v>15</v>
      </c>
      <c r="D227" s="35" t="s">
        <v>28</v>
      </c>
      <c r="E227" s="35">
        <v>57225.98</v>
      </c>
      <c r="F227" s="35">
        <v>2842</v>
      </c>
      <c r="G227" s="35">
        <v>0.112</v>
      </c>
      <c r="H227" s="35">
        <v>10</v>
      </c>
      <c r="I227" s="35">
        <v>79.5</v>
      </c>
      <c r="J227" s="35">
        <v>5.45</v>
      </c>
      <c r="K227" s="35">
        <v>0</v>
      </c>
      <c r="L227" s="35">
        <v>3.4</v>
      </c>
      <c r="M227" s="35">
        <v>536545.49</v>
      </c>
      <c r="N227" s="35">
        <v>97917.45</v>
      </c>
    </row>
    <row r="228" spans="1:14">
      <c r="A228" s="35" t="s">
        <v>78</v>
      </c>
      <c r="B228" s="36">
        <v>45717</v>
      </c>
      <c r="C228" s="35" t="s">
        <v>15</v>
      </c>
      <c r="D228" s="35" t="s">
        <v>28</v>
      </c>
      <c r="E228" s="35">
        <v>42932.02</v>
      </c>
      <c r="F228" s="35">
        <v>3872</v>
      </c>
      <c r="G228" s="35">
        <v>0.17100000000000001</v>
      </c>
      <c r="H228" s="35">
        <v>12</v>
      </c>
      <c r="I228" s="35">
        <v>83.2</v>
      </c>
      <c r="J228" s="35">
        <v>15.58</v>
      </c>
      <c r="K228" s="35">
        <v>0</v>
      </c>
      <c r="L228" s="35">
        <v>3.3</v>
      </c>
      <c r="M228" s="35">
        <v>527681.56000000006</v>
      </c>
      <c r="N228" s="35">
        <v>63153.05</v>
      </c>
    </row>
    <row r="229" spans="1:14">
      <c r="A229" s="35" t="s">
        <v>78</v>
      </c>
      <c r="B229" s="36">
        <v>45748</v>
      </c>
      <c r="C229" s="35" t="s">
        <v>15</v>
      </c>
      <c r="D229" s="35" t="s">
        <v>28</v>
      </c>
      <c r="E229" s="35">
        <v>39341.449999999997</v>
      </c>
      <c r="F229" s="35">
        <v>1375</v>
      </c>
      <c r="G229" s="35">
        <v>9.2999999999999999E-2</v>
      </c>
      <c r="H229" s="35">
        <v>5</v>
      </c>
      <c r="I229" s="35">
        <v>95</v>
      </c>
      <c r="J229" s="35">
        <v>5.32</v>
      </c>
      <c r="K229" s="35">
        <v>0</v>
      </c>
      <c r="L229" s="35"/>
      <c r="M229" s="35">
        <v>529598.93999999994</v>
      </c>
      <c r="N229" s="35">
        <v>84334.33</v>
      </c>
    </row>
    <row r="230" spans="1:14">
      <c r="A230" s="35" t="s">
        <v>79</v>
      </c>
      <c r="B230" s="36">
        <v>45658</v>
      </c>
      <c r="C230" s="35" t="s">
        <v>15</v>
      </c>
      <c r="D230" s="35" t="s">
        <v>18</v>
      </c>
      <c r="E230" s="35">
        <v>37324.230000000003</v>
      </c>
      <c r="F230" s="35">
        <v>5957</v>
      </c>
      <c r="G230" s="35">
        <v>7.0999999999999994E-2</v>
      </c>
      <c r="H230" s="35">
        <v>12</v>
      </c>
      <c r="I230" s="35">
        <v>85.9</v>
      </c>
      <c r="J230" s="35">
        <v>0.37</v>
      </c>
      <c r="K230" s="35">
        <v>0</v>
      </c>
      <c r="L230" s="35">
        <v>3.8</v>
      </c>
      <c r="M230" s="35">
        <v>570963.31000000006</v>
      </c>
      <c r="N230" s="35">
        <v>87342.25</v>
      </c>
    </row>
    <row r="231" spans="1:14">
      <c r="A231" s="35" t="s">
        <v>79</v>
      </c>
      <c r="B231" s="36">
        <v>45689</v>
      </c>
      <c r="C231" s="35" t="s">
        <v>15</v>
      </c>
      <c r="D231" s="35" t="s">
        <v>18</v>
      </c>
      <c r="E231" s="35">
        <v>113736</v>
      </c>
      <c r="F231" s="35">
        <v>8961</v>
      </c>
      <c r="G231" s="35">
        <v>0.20200000000000001</v>
      </c>
      <c r="H231" s="35">
        <v>24</v>
      </c>
      <c r="I231" s="35">
        <v>86.2</v>
      </c>
      <c r="J231" s="35">
        <v>21.63</v>
      </c>
      <c r="K231" s="35">
        <v>0</v>
      </c>
      <c r="L231" s="35">
        <v>4</v>
      </c>
      <c r="M231" s="35">
        <v>870937.4</v>
      </c>
      <c r="N231" s="35">
        <v>175282.74</v>
      </c>
    </row>
    <row r="232" spans="1:14">
      <c r="A232" s="35" t="s">
        <v>79</v>
      </c>
      <c r="B232" s="36">
        <v>45717</v>
      </c>
      <c r="C232" s="35" t="s">
        <v>15</v>
      </c>
      <c r="D232" s="35" t="s">
        <v>18</v>
      </c>
      <c r="E232" s="35">
        <v>33173.949999999997</v>
      </c>
      <c r="F232" s="35">
        <v>6545</v>
      </c>
      <c r="G232" s="35">
        <v>0.16900000000000001</v>
      </c>
      <c r="H232" s="35">
        <v>15</v>
      </c>
      <c r="I232" s="35">
        <v>84.4</v>
      </c>
      <c r="J232" s="35">
        <v>2.48</v>
      </c>
      <c r="K232" s="35">
        <v>0</v>
      </c>
      <c r="L232" s="35">
        <v>3.9</v>
      </c>
      <c r="M232" s="35">
        <v>596969.27</v>
      </c>
      <c r="N232" s="35">
        <v>105669.51</v>
      </c>
    </row>
    <row r="233" spans="1:14">
      <c r="A233" s="35" t="s">
        <v>79</v>
      </c>
      <c r="B233" s="36">
        <v>45748</v>
      </c>
      <c r="C233" s="35" t="s">
        <v>15</v>
      </c>
      <c r="D233" s="35" t="s">
        <v>18</v>
      </c>
      <c r="E233" s="35">
        <v>25818.080000000002</v>
      </c>
      <c r="F233" s="35">
        <v>5457</v>
      </c>
      <c r="G233" s="35">
        <v>0</v>
      </c>
      <c r="H233" s="35">
        <v>11</v>
      </c>
      <c r="I233" s="35">
        <v>95.4</v>
      </c>
      <c r="J233" s="35"/>
      <c r="K233" s="35">
        <v>0</v>
      </c>
      <c r="L233" s="35">
        <v>3.7</v>
      </c>
      <c r="M233" s="35">
        <v>647512.85</v>
      </c>
      <c r="N233" s="35">
        <v>153835.57</v>
      </c>
    </row>
    <row r="234" spans="1:14">
      <c r="A234" s="35" t="s">
        <v>80</v>
      </c>
      <c r="B234" s="36">
        <v>45658</v>
      </c>
      <c r="C234" s="35" t="s">
        <v>27</v>
      </c>
      <c r="D234" s="35" t="s">
        <v>16</v>
      </c>
      <c r="E234" s="35">
        <v>47241.919999999998</v>
      </c>
      <c r="F234" s="35">
        <v>4264</v>
      </c>
      <c r="G234" s="35">
        <v>6.9000000000000006E-2</v>
      </c>
      <c r="H234" s="35">
        <v>13</v>
      </c>
      <c r="I234" s="35">
        <v>95.3</v>
      </c>
      <c r="J234" s="35">
        <v>0.85</v>
      </c>
      <c r="K234" s="35">
        <v>0</v>
      </c>
      <c r="L234" s="35">
        <v>4.3</v>
      </c>
      <c r="M234" s="35">
        <v>658072.14</v>
      </c>
      <c r="N234" s="35">
        <v>110595.89</v>
      </c>
    </row>
    <row r="235" spans="1:14">
      <c r="A235" s="35" t="s">
        <v>80</v>
      </c>
      <c r="B235" s="36">
        <v>45689</v>
      </c>
      <c r="C235" s="35" t="s">
        <v>27</v>
      </c>
      <c r="D235" s="35" t="s">
        <v>16</v>
      </c>
      <c r="E235" s="35">
        <v>61650.79</v>
      </c>
      <c r="F235" s="35">
        <v>5321</v>
      </c>
      <c r="G235" s="35">
        <v>0.126</v>
      </c>
      <c r="H235" s="35">
        <v>17</v>
      </c>
      <c r="I235" s="35">
        <v>89.2</v>
      </c>
      <c r="J235" s="35">
        <v>2.13</v>
      </c>
      <c r="K235" s="35">
        <v>0</v>
      </c>
      <c r="L235" s="35">
        <v>4</v>
      </c>
      <c r="M235" s="35">
        <v>723305.11</v>
      </c>
      <c r="N235" s="35">
        <v>128468.7</v>
      </c>
    </row>
    <row r="236" spans="1:14">
      <c r="A236" s="35" t="s">
        <v>80</v>
      </c>
      <c r="B236" s="36">
        <v>45717</v>
      </c>
      <c r="C236" s="35" t="s">
        <v>27</v>
      </c>
      <c r="D236" s="35" t="s">
        <v>16</v>
      </c>
      <c r="E236" s="35">
        <v>62582.71</v>
      </c>
      <c r="F236" s="35">
        <v>5479</v>
      </c>
      <c r="G236" s="35">
        <v>4.8000000000000001E-2</v>
      </c>
      <c r="H236" s="35">
        <v>16</v>
      </c>
      <c r="I236" s="35">
        <v>81.2</v>
      </c>
      <c r="J236" s="35">
        <v>1.46</v>
      </c>
      <c r="K236" s="35">
        <v>0</v>
      </c>
      <c r="L236" s="35">
        <v>4.5</v>
      </c>
      <c r="M236" s="35">
        <v>640666.53</v>
      </c>
      <c r="N236" s="35">
        <v>134919.16</v>
      </c>
    </row>
    <row r="237" spans="1:14">
      <c r="A237" s="35" t="s">
        <v>80</v>
      </c>
      <c r="B237" s="36">
        <v>45748</v>
      </c>
      <c r="C237" s="35" t="s">
        <v>27</v>
      </c>
      <c r="D237" s="35" t="s">
        <v>16</v>
      </c>
      <c r="E237" s="35">
        <v>47944.14</v>
      </c>
      <c r="F237" s="35">
        <v>6169</v>
      </c>
      <c r="G237" s="35">
        <v>0.11899999999999999</v>
      </c>
      <c r="H237" s="35">
        <v>17</v>
      </c>
      <c r="I237" s="35">
        <v>92.2</v>
      </c>
      <c r="J237" s="35">
        <v>3.02</v>
      </c>
      <c r="K237" s="35">
        <v>0</v>
      </c>
      <c r="L237" s="35">
        <v>4.0999999999999996</v>
      </c>
      <c r="M237" s="35">
        <v>670629.48</v>
      </c>
      <c r="N237" s="35">
        <v>100140.8</v>
      </c>
    </row>
    <row r="238" spans="1:14">
      <c r="A238" s="35" t="s">
        <v>81</v>
      </c>
      <c r="B238" s="36">
        <v>45658</v>
      </c>
      <c r="C238" s="35" t="s">
        <v>27</v>
      </c>
      <c r="D238" s="35" t="s">
        <v>28</v>
      </c>
      <c r="E238" s="35">
        <v>46495.4</v>
      </c>
      <c r="F238" s="35">
        <v>9908</v>
      </c>
      <c r="G238" s="35">
        <v>0.121</v>
      </c>
      <c r="H238" s="35">
        <v>22</v>
      </c>
      <c r="I238" s="35">
        <v>89.4</v>
      </c>
      <c r="J238" s="35">
        <v>3.22</v>
      </c>
      <c r="K238" s="35">
        <v>0</v>
      </c>
      <c r="L238" s="35">
        <v>3.7</v>
      </c>
      <c r="M238" s="35">
        <v>721079.35</v>
      </c>
      <c r="N238" s="35">
        <v>115295.05</v>
      </c>
    </row>
    <row r="239" spans="1:14">
      <c r="A239" s="35" t="s">
        <v>81</v>
      </c>
      <c r="B239" s="36">
        <v>45689</v>
      </c>
      <c r="C239" s="35" t="s">
        <v>27</v>
      </c>
      <c r="D239" s="35" t="s">
        <v>28</v>
      </c>
      <c r="E239" s="35">
        <v>72961.95</v>
      </c>
      <c r="F239" s="35">
        <v>9996</v>
      </c>
      <c r="G239" s="35">
        <v>0.106</v>
      </c>
      <c r="H239" s="35">
        <v>22</v>
      </c>
      <c r="I239" s="35">
        <v>89.1</v>
      </c>
      <c r="J239" s="35">
        <v>15.66</v>
      </c>
      <c r="K239" s="35">
        <v>0</v>
      </c>
      <c r="L239" s="35">
        <v>3.4</v>
      </c>
      <c r="M239" s="35">
        <v>810355.02</v>
      </c>
      <c r="N239" s="35">
        <v>131510</v>
      </c>
    </row>
    <row r="240" spans="1:14">
      <c r="A240" s="35" t="s">
        <v>81</v>
      </c>
      <c r="B240" s="36">
        <v>45717</v>
      </c>
      <c r="C240" s="35" t="s">
        <v>27</v>
      </c>
      <c r="D240" s="35" t="s">
        <v>28</v>
      </c>
      <c r="E240" s="35">
        <v>59060.05</v>
      </c>
      <c r="F240" s="35">
        <v>9702</v>
      </c>
      <c r="G240" s="35">
        <v>0.20100000000000001</v>
      </c>
      <c r="H240" s="35">
        <v>23</v>
      </c>
      <c r="I240" s="35">
        <v>80.900000000000006</v>
      </c>
      <c r="J240" s="35">
        <v>6.96</v>
      </c>
      <c r="K240" s="35">
        <v>0</v>
      </c>
      <c r="L240" s="35">
        <v>3.2</v>
      </c>
      <c r="M240" s="35">
        <v>761919.25</v>
      </c>
      <c r="N240" s="35">
        <v>111893.06</v>
      </c>
    </row>
    <row r="241" spans="1:14">
      <c r="A241" s="35" t="s">
        <v>81</v>
      </c>
      <c r="B241" s="36">
        <v>45748</v>
      </c>
      <c r="C241" s="35" t="s">
        <v>27</v>
      </c>
      <c r="D241" s="35" t="s">
        <v>28</v>
      </c>
      <c r="E241" s="35">
        <v>26248.1</v>
      </c>
      <c r="F241" s="35">
        <v>9314</v>
      </c>
      <c r="G241" s="35">
        <v>0.186</v>
      </c>
      <c r="H241" s="35">
        <v>21</v>
      </c>
      <c r="I241" s="35">
        <v>83.7</v>
      </c>
      <c r="J241" s="35">
        <v>4.62</v>
      </c>
      <c r="K241" s="35">
        <v>0</v>
      </c>
      <c r="L241" s="35">
        <v>3.3</v>
      </c>
      <c r="M241" s="35">
        <v>737070.18</v>
      </c>
      <c r="N241" s="35">
        <v>117593.97</v>
      </c>
    </row>
    <row r="242" spans="1:14">
      <c r="A242" s="35" t="s">
        <v>82</v>
      </c>
      <c r="B242" s="36">
        <v>45658</v>
      </c>
      <c r="C242" s="35" t="s">
        <v>24</v>
      </c>
      <c r="D242" s="35" t="s">
        <v>21</v>
      </c>
      <c r="E242" s="35">
        <v>69900.12</v>
      </c>
      <c r="F242" s="35">
        <v>8055</v>
      </c>
      <c r="G242" s="35">
        <v>0.28100000000000003</v>
      </c>
      <c r="H242" s="35">
        <v>22</v>
      </c>
      <c r="I242" s="35">
        <v>85.6</v>
      </c>
      <c r="J242" s="35">
        <v>10.68</v>
      </c>
      <c r="K242" s="35">
        <v>1</v>
      </c>
      <c r="L242" s="35">
        <v>2.9</v>
      </c>
      <c r="M242" s="35">
        <v>776992.93</v>
      </c>
      <c r="N242" s="35">
        <v>101598.32</v>
      </c>
    </row>
    <row r="243" spans="1:14">
      <c r="A243" s="35" t="s">
        <v>82</v>
      </c>
      <c r="B243" s="36">
        <v>45689</v>
      </c>
      <c r="C243" s="35" t="s">
        <v>24</v>
      </c>
      <c r="D243" s="35" t="s">
        <v>21</v>
      </c>
      <c r="E243" s="35">
        <v>51781.599999999999</v>
      </c>
      <c r="F243" s="35">
        <v>5648</v>
      </c>
      <c r="G243" s="35">
        <v>5.8999999999999997E-2</v>
      </c>
      <c r="H243" s="35">
        <v>13</v>
      </c>
      <c r="I243" s="35">
        <v>85.5</v>
      </c>
      <c r="J243" s="35">
        <v>4.04</v>
      </c>
      <c r="K243" s="35">
        <v>0</v>
      </c>
      <c r="L243" s="35">
        <v>3.7</v>
      </c>
      <c r="M243" s="35">
        <v>676337.41</v>
      </c>
      <c r="N243" s="35">
        <v>104355.77</v>
      </c>
    </row>
    <row r="244" spans="1:14">
      <c r="A244" s="35" t="s">
        <v>82</v>
      </c>
      <c r="B244" s="36">
        <v>45717</v>
      </c>
      <c r="C244" s="35" t="s">
        <v>24</v>
      </c>
      <c r="D244" s="35" t="s">
        <v>21</v>
      </c>
      <c r="E244" s="35">
        <v>70799.64</v>
      </c>
      <c r="F244" s="35">
        <v>10076</v>
      </c>
      <c r="G244" s="35">
        <v>0.152</v>
      </c>
      <c r="H244" s="35">
        <v>24</v>
      </c>
      <c r="I244" s="35">
        <v>84.8</v>
      </c>
      <c r="J244" s="35">
        <v>1.87</v>
      </c>
      <c r="K244" s="35">
        <v>0</v>
      </c>
      <c r="L244" s="35">
        <v>3.5</v>
      </c>
      <c r="M244" s="35">
        <v>828219.67</v>
      </c>
      <c r="N244" s="35">
        <v>179806.87</v>
      </c>
    </row>
    <row r="245" spans="1:14">
      <c r="A245" s="35" t="s">
        <v>82</v>
      </c>
      <c r="B245" s="36">
        <v>45748</v>
      </c>
      <c r="C245" s="35" t="s">
        <v>24</v>
      </c>
      <c r="D245" s="35" t="s">
        <v>21</v>
      </c>
      <c r="E245" s="35">
        <v>53546.34</v>
      </c>
      <c r="F245" s="35">
        <v>8004</v>
      </c>
      <c r="G245" s="35">
        <v>0</v>
      </c>
      <c r="H245" s="35">
        <v>21</v>
      </c>
      <c r="I245" s="35">
        <v>95.2</v>
      </c>
      <c r="J245" s="35">
        <v>2.83</v>
      </c>
      <c r="K245" s="35">
        <v>0</v>
      </c>
      <c r="L245" s="35">
        <v>3</v>
      </c>
      <c r="M245" s="35">
        <v>763159.92</v>
      </c>
      <c r="N245" s="35">
        <v>177104.87</v>
      </c>
    </row>
    <row r="246" spans="1:14">
      <c r="A246" s="35" t="s">
        <v>83</v>
      </c>
      <c r="B246" s="36">
        <v>45658</v>
      </c>
      <c r="C246" s="35" t="s">
        <v>15</v>
      </c>
      <c r="D246" s="35" t="s">
        <v>18</v>
      </c>
      <c r="E246" s="35">
        <v>76942.2</v>
      </c>
      <c r="F246" s="35">
        <v>8934</v>
      </c>
      <c r="G246" s="35">
        <v>8.4000000000000005E-2</v>
      </c>
      <c r="H246" s="35">
        <v>20</v>
      </c>
      <c r="I246" s="35">
        <v>91</v>
      </c>
      <c r="J246" s="35">
        <v>0.95</v>
      </c>
      <c r="K246" s="35">
        <v>0</v>
      </c>
      <c r="L246" s="35">
        <v>3.2</v>
      </c>
      <c r="M246" s="35">
        <v>802001.68</v>
      </c>
      <c r="N246" s="35">
        <v>159715.82</v>
      </c>
    </row>
    <row r="247" spans="1:14">
      <c r="A247" s="35" t="s">
        <v>83</v>
      </c>
      <c r="B247" s="36">
        <v>45689</v>
      </c>
      <c r="C247" s="35" t="s">
        <v>15</v>
      </c>
      <c r="D247" s="35" t="s">
        <v>18</v>
      </c>
      <c r="E247" s="35">
        <v>48060.78</v>
      </c>
      <c r="F247" s="35">
        <v>8733</v>
      </c>
      <c r="G247" s="35">
        <v>0</v>
      </c>
      <c r="H247" s="35">
        <v>20</v>
      </c>
      <c r="I247" s="35">
        <v>89.9</v>
      </c>
      <c r="J247" s="35">
        <v>0.8</v>
      </c>
      <c r="K247" s="35">
        <v>0</v>
      </c>
      <c r="L247" s="35">
        <v>3.4</v>
      </c>
      <c r="M247" s="35">
        <v>750471.34</v>
      </c>
      <c r="N247" s="35">
        <v>133788.04</v>
      </c>
    </row>
    <row r="248" spans="1:14">
      <c r="A248" s="35" t="s">
        <v>83</v>
      </c>
      <c r="B248" s="36">
        <v>45717</v>
      </c>
      <c r="C248" s="35" t="s">
        <v>15</v>
      </c>
      <c r="D248" s="35" t="s">
        <v>18</v>
      </c>
      <c r="E248" s="35">
        <v>57390.04</v>
      </c>
      <c r="F248" s="35">
        <v>7374</v>
      </c>
      <c r="G248" s="35">
        <v>0.21</v>
      </c>
      <c r="H248" s="35">
        <v>21</v>
      </c>
      <c r="I248" s="35">
        <v>91.8</v>
      </c>
      <c r="J248" s="35">
        <v>0.2</v>
      </c>
      <c r="K248" s="35">
        <v>0</v>
      </c>
      <c r="L248" s="35">
        <v>3.1</v>
      </c>
      <c r="M248" s="35">
        <v>679230.86</v>
      </c>
      <c r="N248" s="35">
        <v>106927.58</v>
      </c>
    </row>
    <row r="249" spans="1:14">
      <c r="A249" s="35" t="s">
        <v>83</v>
      </c>
      <c r="B249" s="36">
        <v>45748</v>
      </c>
      <c r="C249" s="35" t="s">
        <v>15</v>
      </c>
      <c r="D249" s="35" t="s">
        <v>18</v>
      </c>
      <c r="E249" s="35">
        <v>21536.18</v>
      </c>
      <c r="F249" s="35">
        <v>8119</v>
      </c>
      <c r="G249" s="35">
        <v>0.22700000000000001</v>
      </c>
      <c r="H249" s="35">
        <v>20</v>
      </c>
      <c r="I249" s="35">
        <v>90.4</v>
      </c>
      <c r="J249" s="35">
        <v>1.7</v>
      </c>
      <c r="K249" s="35">
        <v>0</v>
      </c>
      <c r="L249" s="35">
        <v>3.3</v>
      </c>
      <c r="M249" s="35">
        <v>679888.74</v>
      </c>
      <c r="N249" s="35">
        <v>83406.89</v>
      </c>
    </row>
    <row r="250" spans="1:14">
      <c r="A250" s="35" t="s">
        <v>84</v>
      </c>
      <c r="B250" s="36">
        <v>45658</v>
      </c>
      <c r="C250" s="35" t="s">
        <v>20</v>
      </c>
      <c r="D250" s="35" t="s">
        <v>18</v>
      </c>
      <c r="E250" s="35">
        <v>40923.67</v>
      </c>
      <c r="F250" s="35">
        <v>3875</v>
      </c>
      <c r="G250" s="35">
        <v>0.15</v>
      </c>
      <c r="H250" s="35">
        <v>10</v>
      </c>
      <c r="I250" s="35">
        <v>96.1</v>
      </c>
      <c r="J250" s="35"/>
      <c r="K250" s="35">
        <v>0</v>
      </c>
      <c r="L250" s="35">
        <v>3.8</v>
      </c>
      <c r="M250" s="35">
        <v>606783.67000000004</v>
      </c>
      <c r="N250" s="35">
        <v>74515.87</v>
      </c>
    </row>
    <row r="251" spans="1:14">
      <c r="A251" s="35" t="s">
        <v>84</v>
      </c>
      <c r="B251" s="36">
        <v>45689</v>
      </c>
      <c r="C251" s="35" t="s">
        <v>20</v>
      </c>
      <c r="D251" s="35" t="s">
        <v>18</v>
      </c>
      <c r="E251" s="35">
        <v>72932.55</v>
      </c>
      <c r="F251" s="35">
        <v>5765</v>
      </c>
      <c r="G251" s="35">
        <v>2.5999999999999999E-2</v>
      </c>
      <c r="H251" s="35">
        <v>17</v>
      </c>
      <c r="I251" s="35">
        <v>81.8</v>
      </c>
      <c r="J251" s="35">
        <v>5.0999999999999996</v>
      </c>
      <c r="K251" s="35">
        <v>0</v>
      </c>
      <c r="L251" s="35">
        <v>3.6</v>
      </c>
      <c r="M251" s="35">
        <v>642751.42000000004</v>
      </c>
      <c r="N251" s="35">
        <v>131942.15</v>
      </c>
    </row>
    <row r="252" spans="1:14">
      <c r="A252" s="35" t="s">
        <v>84</v>
      </c>
      <c r="B252" s="36">
        <v>45717</v>
      </c>
      <c r="C252" s="35" t="s">
        <v>20</v>
      </c>
      <c r="D252" s="35" t="s">
        <v>18</v>
      </c>
      <c r="E252" s="35">
        <v>38361.93</v>
      </c>
      <c r="F252" s="35">
        <v>6322</v>
      </c>
      <c r="G252" s="35">
        <v>0.27300000000000002</v>
      </c>
      <c r="H252" s="35">
        <v>15</v>
      </c>
      <c r="I252" s="35">
        <v>88.4</v>
      </c>
      <c r="J252" s="35">
        <v>0.83</v>
      </c>
      <c r="K252" s="35">
        <v>0</v>
      </c>
      <c r="L252" s="35">
        <v>4</v>
      </c>
      <c r="M252" s="35">
        <v>647953.78</v>
      </c>
      <c r="N252" s="35">
        <v>118497.43</v>
      </c>
    </row>
    <row r="253" spans="1:14">
      <c r="A253" s="35" t="s">
        <v>84</v>
      </c>
      <c r="B253" s="36">
        <v>45748</v>
      </c>
      <c r="C253" s="35" t="s">
        <v>20</v>
      </c>
      <c r="D253" s="35" t="s">
        <v>18</v>
      </c>
      <c r="E253" s="35">
        <v>97480.94</v>
      </c>
      <c r="F253" s="35">
        <v>6840</v>
      </c>
      <c r="G253" s="35">
        <v>8.6999999999999994E-2</v>
      </c>
      <c r="H253" s="35">
        <v>14</v>
      </c>
      <c r="I253" s="35">
        <v>79.2</v>
      </c>
      <c r="J253" s="35">
        <v>1.1399999999999999</v>
      </c>
      <c r="K253" s="35">
        <v>0</v>
      </c>
      <c r="L253" s="35">
        <v>4</v>
      </c>
      <c r="M253" s="35">
        <v>729440.45</v>
      </c>
      <c r="N253" s="35">
        <v>87614.29</v>
      </c>
    </row>
    <row r="254" spans="1:14">
      <c r="A254" s="35" t="s">
        <v>85</v>
      </c>
      <c r="B254" s="36">
        <v>45658</v>
      </c>
      <c r="C254" s="35" t="s">
        <v>24</v>
      </c>
      <c r="D254" s="35" t="s">
        <v>21</v>
      </c>
      <c r="E254" s="35">
        <v>81801.8</v>
      </c>
      <c r="F254" s="35">
        <v>6782</v>
      </c>
      <c r="G254" s="35">
        <v>0.05</v>
      </c>
      <c r="H254" s="35">
        <v>16</v>
      </c>
      <c r="I254" s="35">
        <v>99</v>
      </c>
      <c r="J254" s="35">
        <v>9.5399999999999991</v>
      </c>
      <c r="K254" s="35">
        <v>0</v>
      </c>
      <c r="L254" s="35">
        <v>3.7</v>
      </c>
      <c r="M254" s="35">
        <v>764949</v>
      </c>
      <c r="N254" s="35">
        <v>148322.43</v>
      </c>
    </row>
    <row r="255" spans="1:14">
      <c r="A255" s="35" t="s">
        <v>85</v>
      </c>
      <c r="B255" s="36">
        <v>45689</v>
      </c>
      <c r="C255" s="35" t="s">
        <v>24</v>
      </c>
      <c r="D255" s="35" t="s">
        <v>21</v>
      </c>
      <c r="E255" s="35">
        <v>63582.11</v>
      </c>
      <c r="F255" s="35">
        <v>6856</v>
      </c>
      <c r="G255" s="35">
        <v>7.3999999999999996E-2</v>
      </c>
      <c r="H255" s="35">
        <v>17</v>
      </c>
      <c r="I255" s="35">
        <v>89.5</v>
      </c>
      <c r="J255" s="35">
        <v>5.48</v>
      </c>
      <c r="K255" s="35">
        <v>0</v>
      </c>
      <c r="L255" s="35">
        <v>3.2</v>
      </c>
      <c r="M255" s="35">
        <v>799046.94</v>
      </c>
      <c r="N255" s="35">
        <v>144553.64000000001</v>
      </c>
    </row>
    <row r="256" spans="1:14">
      <c r="A256" s="35" t="s">
        <v>85</v>
      </c>
      <c r="B256" s="36">
        <v>45717</v>
      </c>
      <c r="C256" s="35" t="s">
        <v>24</v>
      </c>
      <c r="D256" s="35" t="s">
        <v>21</v>
      </c>
      <c r="E256" s="35">
        <v>75412.740000000005</v>
      </c>
      <c r="F256" s="35">
        <v>5641</v>
      </c>
      <c r="G256" s="35">
        <v>5.8999999999999997E-2</v>
      </c>
      <c r="H256" s="35">
        <v>13</v>
      </c>
      <c r="I256" s="35">
        <v>87.9</v>
      </c>
      <c r="J256" s="35">
        <v>0.84</v>
      </c>
      <c r="K256" s="35">
        <v>0</v>
      </c>
      <c r="L256" s="35">
        <v>3.6</v>
      </c>
      <c r="M256" s="35">
        <v>720079.54</v>
      </c>
      <c r="N256" s="35">
        <v>119499.47</v>
      </c>
    </row>
    <row r="257" spans="1:14">
      <c r="A257" s="35" t="s">
        <v>85</v>
      </c>
      <c r="B257" s="36">
        <v>45748</v>
      </c>
      <c r="C257" s="35" t="s">
        <v>24</v>
      </c>
      <c r="D257" s="35" t="s">
        <v>21</v>
      </c>
      <c r="E257" s="35">
        <v>36290.080000000002</v>
      </c>
      <c r="F257" s="35">
        <v>5787</v>
      </c>
      <c r="G257" s="35">
        <v>0</v>
      </c>
      <c r="H257" s="35">
        <v>17</v>
      </c>
      <c r="I257" s="35">
        <v>88.3</v>
      </c>
      <c r="J257" s="35">
        <v>4.1900000000000004</v>
      </c>
      <c r="K257" s="35">
        <v>0</v>
      </c>
      <c r="L257" s="35">
        <v>4.0999999999999996</v>
      </c>
      <c r="M257" s="35">
        <v>612390.14</v>
      </c>
      <c r="N257" s="35">
        <v>108985.74</v>
      </c>
    </row>
    <row r="258" spans="1:14">
      <c r="A258" s="35" t="s">
        <v>86</v>
      </c>
      <c r="B258" s="36">
        <v>45658</v>
      </c>
      <c r="C258" s="35" t="s">
        <v>24</v>
      </c>
      <c r="D258" s="35" t="s">
        <v>28</v>
      </c>
      <c r="E258" s="35">
        <v>65272.58</v>
      </c>
      <c r="F258" s="35">
        <v>8165</v>
      </c>
      <c r="G258" s="35">
        <v>5.0999999999999997E-2</v>
      </c>
      <c r="H258" s="35">
        <v>19</v>
      </c>
      <c r="I258" s="35">
        <v>87.8</v>
      </c>
      <c r="J258" s="35">
        <v>1.26</v>
      </c>
      <c r="K258" s="35">
        <v>1</v>
      </c>
      <c r="L258" s="35">
        <v>4.3</v>
      </c>
      <c r="M258" s="35">
        <v>840108.12</v>
      </c>
      <c r="N258" s="35">
        <v>126587.01</v>
      </c>
    </row>
    <row r="259" spans="1:14">
      <c r="A259" s="35" t="s">
        <v>86</v>
      </c>
      <c r="B259" s="36">
        <v>45689</v>
      </c>
      <c r="C259" s="35" t="s">
        <v>24</v>
      </c>
      <c r="D259" s="35" t="s">
        <v>28</v>
      </c>
      <c r="E259" s="35">
        <v>28670.43</v>
      </c>
      <c r="F259" s="35">
        <v>7574</v>
      </c>
      <c r="G259" s="35">
        <v>0.114</v>
      </c>
      <c r="H259" s="35">
        <v>19</v>
      </c>
      <c r="I259" s="35">
        <v>82.7</v>
      </c>
      <c r="J259" s="35">
        <v>2.74</v>
      </c>
      <c r="K259" s="35">
        <v>0</v>
      </c>
      <c r="L259" s="35">
        <v>4.5999999999999996</v>
      </c>
      <c r="M259" s="35">
        <v>697888.09</v>
      </c>
      <c r="N259" s="35">
        <v>116249.87</v>
      </c>
    </row>
    <row r="260" spans="1:14">
      <c r="A260" s="35" t="s">
        <v>86</v>
      </c>
      <c r="B260" s="36">
        <v>45717</v>
      </c>
      <c r="C260" s="35" t="s">
        <v>24</v>
      </c>
      <c r="D260" s="35" t="s">
        <v>28</v>
      </c>
      <c r="E260" s="35">
        <v>44189.34</v>
      </c>
      <c r="F260" s="35">
        <v>8634</v>
      </c>
      <c r="G260" s="35">
        <v>0.14299999999999999</v>
      </c>
      <c r="H260" s="35">
        <v>19</v>
      </c>
      <c r="I260" s="35">
        <v>87.5</v>
      </c>
      <c r="J260" s="35">
        <v>3.69</v>
      </c>
      <c r="K260" s="35">
        <v>0</v>
      </c>
      <c r="L260" s="35">
        <v>4.4000000000000004</v>
      </c>
      <c r="M260" s="35">
        <v>746115.59</v>
      </c>
      <c r="N260" s="35">
        <v>94662.96</v>
      </c>
    </row>
    <row r="261" spans="1:14">
      <c r="A261" s="35" t="s">
        <v>86</v>
      </c>
      <c r="B261" s="36">
        <v>45748</v>
      </c>
      <c r="C261" s="35" t="s">
        <v>24</v>
      </c>
      <c r="D261" s="35" t="s">
        <v>28</v>
      </c>
      <c r="E261" s="35">
        <v>38397.82</v>
      </c>
      <c r="F261" s="35">
        <v>7836</v>
      </c>
      <c r="G261" s="35">
        <v>7.0000000000000001E-3</v>
      </c>
      <c r="H261" s="35">
        <v>21</v>
      </c>
      <c r="I261" s="35">
        <v>92.2</v>
      </c>
      <c r="J261" s="35">
        <v>1.82</v>
      </c>
      <c r="K261" s="35">
        <v>0</v>
      </c>
      <c r="L261" s="35">
        <v>3.6</v>
      </c>
      <c r="M261" s="35">
        <v>776110.32</v>
      </c>
      <c r="N261" s="35">
        <v>139676.21</v>
      </c>
    </row>
    <row r="262" spans="1:14">
      <c r="A262" s="35" t="s">
        <v>87</v>
      </c>
      <c r="B262" s="36">
        <v>45658</v>
      </c>
      <c r="C262" s="35" t="s">
        <v>27</v>
      </c>
      <c r="D262" s="35" t="s">
        <v>18</v>
      </c>
      <c r="E262" s="35">
        <v>14519.37</v>
      </c>
      <c r="F262" s="35">
        <v>3047</v>
      </c>
      <c r="G262" s="35">
        <v>0.13500000000000001</v>
      </c>
      <c r="H262" s="35">
        <v>10</v>
      </c>
      <c r="I262" s="35">
        <v>90.3</v>
      </c>
      <c r="J262" s="35">
        <v>6.62</v>
      </c>
      <c r="K262" s="35">
        <v>0</v>
      </c>
      <c r="L262" s="35">
        <v>4.2</v>
      </c>
      <c r="M262" s="35">
        <v>528852.62</v>
      </c>
      <c r="N262" s="35">
        <v>68426.210000000006</v>
      </c>
    </row>
    <row r="263" spans="1:14">
      <c r="A263" s="35" t="s">
        <v>87</v>
      </c>
      <c r="B263" s="36">
        <v>45689</v>
      </c>
      <c r="C263" s="35" t="s">
        <v>27</v>
      </c>
      <c r="D263" s="35" t="s">
        <v>18</v>
      </c>
      <c r="E263" s="35">
        <v>43288.2</v>
      </c>
      <c r="F263" s="35">
        <v>4783</v>
      </c>
      <c r="G263" s="35">
        <v>0.16900000000000001</v>
      </c>
      <c r="H263" s="35">
        <v>13</v>
      </c>
      <c r="I263" s="35">
        <v>87.3</v>
      </c>
      <c r="J263" s="35"/>
      <c r="K263" s="35">
        <v>0</v>
      </c>
      <c r="L263" s="35">
        <v>4.2</v>
      </c>
      <c r="M263" s="35">
        <v>605751.32999999996</v>
      </c>
      <c r="N263" s="35">
        <v>60685.53</v>
      </c>
    </row>
    <row r="264" spans="1:14">
      <c r="A264" s="35" t="s">
        <v>87</v>
      </c>
      <c r="B264" s="36">
        <v>45717</v>
      </c>
      <c r="C264" s="35" t="s">
        <v>27</v>
      </c>
      <c r="D264" s="35" t="s">
        <v>18</v>
      </c>
      <c r="E264" s="35">
        <v>51450.55</v>
      </c>
      <c r="F264" s="35">
        <v>4902</v>
      </c>
      <c r="G264" s="35">
        <v>8.5999999999999993E-2</v>
      </c>
      <c r="H264" s="35">
        <v>11</v>
      </c>
      <c r="I264" s="35">
        <v>83.7</v>
      </c>
      <c r="J264" s="35">
        <v>6.92</v>
      </c>
      <c r="K264" s="35">
        <v>1</v>
      </c>
      <c r="L264" s="35">
        <v>4.2</v>
      </c>
      <c r="M264" s="35">
        <v>677640.65</v>
      </c>
      <c r="N264" s="35">
        <v>111610.89</v>
      </c>
    </row>
    <row r="265" spans="1:14">
      <c r="A265" s="35" t="s">
        <v>87</v>
      </c>
      <c r="B265" s="36">
        <v>45748</v>
      </c>
      <c r="C265" s="35" t="s">
        <v>27</v>
      </c>
      <c r="D265" s="35" t="s">
        <v>18</v>
      </c>
      <c r="E265" s="35">
        <v>58688.26</v>
      </c>
      <c r="F265" s="35">
        <v>4022</v>
      </c>
      <c r="G265" s="35">
        <v>0.217</v>
      </c>
      <c r="H265" s="35">
        <v>12</v>
      </c>
      <c r="I265" s="35">
        <v>93.8</v>
      </c>
      <c r="J265" s="35">
        <v>11.78</v>
      </c>
      <c r="K265" s="35">
        <v>0</v>
      </c>
      <c r="L265" s="35">
        <v>3.7</v>
      </c>
      <c r="M265" s="35">
        <v>636613.23</v>
      </c>
      <c r="N265" s="35">
        <v>78908.350000000006</v>
      </c>
    </row>
    <row r="266" spans="1:14">
      <c r="A266" s="35" t="s">
        <v>88</v>
      </c>
      <c r="B266" s="36">
        <v>45658</v>
      </c>
      <c r="C266" s="35" t="s">
        <v>15</v>
      </c>
      <c r="D266" s="35" t="s">
        <v>18</v>
      </c>
      <c r="E266" s="35">
        <v>58981.91</v>
      </c>
      <c r="F266" s="35">
        <v>7324</v>
      </c>
      <c r="G266" s="35">
        <v>9.4E-2</v>
      </c>
      <c r="H266" s="35">
        <v>15</v>
      </c>
      <c r="I266" s="35">
        <v>95.8</v>
      </c>
      <c r="J266" s="35">
        <v>0.5</v>
      </c>
      <c r="K266" s="35">
        <v>0</v>
      </c>
      <c r="L266" s="35">
        <v>3.5</v>
      </c>
      <c r="M266" s="35">
        <v>708985.19</v>
      </c>
      <c r="N266" s="35">
        <v>125368.16</v>
      </c>
    </row>
    <row r="267" spans="1:14">
      <c r="A267" s="35" t="s">
        <v>88</v>
      </c>
      <c r="B267" s="36">
        <v>45689</v>
      </c>
      <c r="C267" s="35" t="s">
        <v>15</v>
      </c>
      <c r="D267" s="35" t="s">
        <v>18</v>
      </c>
      <c r="E267" s="35">
        <v>73454.539999999994</v>
      </c>
      <c r="F267" s="35">
        <v>8129</v>
      </c>
      <c r="G267" s="35">
        <v>0.21099999999999999</v>
      </c>
      <c r="H267" s="35">
        <v>20</v>
      </c>
      <c r="I267" s="35">
        <v>85.2</v>
      </c>
      <c r="J267" s="35">
        <v>0.88</v>
      </c>
      <c r="K267" s="35">
        <v>0</v>
      </c>
      <c r="L267" s="35">
        <v>3.7</v>
      </c>
      <c r="M267" s="35">
        <v>767792.94</v>
      </c>
      <c r="N267" s="35">
        <v>96235.77</v>
      </c>
    </row>
    <row r="268" spans="1:14">
      <c r="A268" s="35" t="s">
        <v>88</v>
      </c>
      <c r="B268" s="36">
        <v>45717</v>
      </c>
      <c r="C268" s="35" t="s">
        <v>15</v>
      </c>
      <c r="D268" s="35" t="s">
        <v>18</v>
      </c>
      <c r="E268" s="35">
        <v>56602.39</v>
      </c>
      <c r="F268" s="35">
        <v>7969</v>
      </c>
      <c r="G268" s="35">
        <v>0.17</v>
      </c>
      <c r="H268" s="35">
        <v>21</v>
      </c>
      <c r="I268" s="35">
        <v>88.3</v>
      </c>
      <c r="J268" s="35">
        <v>2.25</v>
      </c>
      <c r="K268" s="35">
        <v>0</v>
      </c>
      <c r="L268" s="35">
        <v>3.7</v>
      </c>
      <c r="M268" s="35">
        <v>745580.51</v>
      </c>
      <c r="N268" s="35">
        <v>116273.68</v>
      </c>
    </row>
    <row r="269" spans="1:14">
      <c r="A269" s="35" t="s">
        <v>88</v>
      </c>
      <c r="B269" s="36">
        <v>45748</v>
      </c>
      <c r="C269" s="35" t="s">
        <v>15</v>
      </c>
      <c r="D269" s="35" t="s">
        <v>18</v>
      </c>
      <c r="E269" s="35">
        <v>67722.289999999994</v>
      </c>
      <c r="F269" s="35">
        <v>7240</v>
      </c>
      <c r="G269" s="35">
        <v>2.5999999999999999E-2</v>
      </c>
      <c r="H269" s="35">
        <v>15</v>
      </c>
      <c r="I269" s="35">
        <v>92.9</v>
      </c>
      <c r="J269" s="35">
        <v>0.28999999999999998</v>
      </c>
      <c r="K269" s="35">
        <v>0</v>
      </c>
      <c r="L269" s="35">
        <v>3.5</v>
      </c>
      <c r="M269" s="35">
        <v>762328.31</v>
      </c>
      <c r="N269" s="35">
        <v>159158.19</v>
      </c>
    </row>
    <row r="270" spans="1:14">
      <c r="A270" s="35" t="s">
        <v>89</v>
      </c>
      <c r="B270" s="36">
        <v>45658</v>
      </c>
      <c r="C270" s="35" t="s">
        <v>15</v>
      </c>
      <c r="D270" s="35" t="s">
        <v>28</v>
      </c>
      <c r="E270" s="35">
        <v>48752.92</v>
      </c>
      <c r="F270" s="35">
        <v>8052</v>
      </c>
      <c r="G270" s="35">
        <v>0.106</v>
      </c>
      <c r="H270" s="35">
        <v>16</v>
      </c>
      <c r="I270" s="35">
        <v>94.9</v>
      </c>
      <c r="J270" s="35">
        <v>0.65</v>
      </c>
      <c r="K270" s="35">
        <v>0</v>
      </c>
      <c r="L270" s="35">
        <v>3.6</v>
      </c>
      <c r="M270" s="35">
        <v>660633.99</v>
      </c>
      <c r="N270" s="35">
        <v>118768.66</v>
      </c>
    </row>
    <row r="271" spans="1:14">
      <c r="A271" s="35" t="s">
        <v>89</v>
      </c>
      <c r="B271" s="36">
        <v>45689</v>
      </c>
      <c r="C271" s="35" t="s">
        <v>15</v>
      </c>
      <c r="D271" s="35" t="s">
        <v>28</v>
      </c>
      <c r="E271" s="35">
        <v>23914.97</v>
      </c>
      <c r="F271" s="35">
        <v>8018</v>
      </c>
      <c r="G271" s="35">
        <v>0.13900000000000001</v>
      </c>
      <c r="H271" s="35">
        <v>20</v>
      </c>
      <c r="I271" s="35">
        <v>89</v>
      </c>
      <c r="J271" s="35">
        <v>0.2</v>
      </c>
      <c r="K271" s="35">
        <v>0</v>
      </c>
      <c r="L271" s="35">
        <v>3.5</v>
      </c>
      <c r="M271" s="35">
        <v>739374.56</v>
      </c>
      <c r="N271" s="35">
        <v>121032.29</v>
      </c>
    </row>
    <row r="272" spans="1:14">
      <c r="A272" s="35" t="s">
        <v>89</v>
      </c>
      <c r="B272" s="36">
        <v>45717</v>
      </c>
      <c r="C272" s="35" t="s">
        <v>15</v>
      </c>
      <c r="D272" s="35" t="s">
        <v>28</v>
      </c>
      <c r="E272" s="35">
        <v>61995.3</v>
      </c>
      <c r="F272" s="35">
        <v>10192</v>
      </c>
      <c r="G272" s="35">
        <v>0.19800000000000001</v>
      </c>
      <c r="H272" s="35">
        <v>21</v>
      </c>
      <c r="I272" s="35">
        <v>87.6</v>
      </c>
      <c r="J272" s="35">
        <v>3.63</v>
      </c>
      <c r="K272" s="35">
        <v>1</v>
      </c>
      <c r="L272" s="35">
        <v>3.8</v>
      </c>
      <c r="M272" s="35">
        <v>799756.46</v>
      </c>
      <c r="N272" s="35">
        <v>105052.93</v>
      </c>
    </row>
    <row r="273" spans="1:14">
      <c r="A273" s="35" t="s">
        <v>89</v>
      </c>
      <c r="B273" s="36">
        <v>45748</v>
      </c>
      <c r="C273" s="35" t="s">
        <v>15</v>
      </c>
      <c r="D273" s="35" t="s">
        <v>28</v>
      </c>
      <c r="E273" s="35">
        <v>29344.93</v>
      </c>
      <c r="F273" s="35">
        <v>7446</v>
      </c>
      <c r="G273" s="35">
        <v>0.111</v>
      </c>
      <c r="H273" s="35">
        <v>15</v>
      </c>
      <c r="I273" s="35">
        <v>86.2</v>
      </c>
      <c r="J273" s="35">
        <v>0.2</v>
      </c>
      <c r="K273" s="35">
        <v>0</v>
      </c>
      <c r="L273" s="35">
        <v>3.2</v>
      </c>
      <c r="M273" s="35">
        <v>593343</v>
      </c>
      <c r="N273" s="35">
        <v>82832.240000000005</v>
      </c>
    </row>
    <row r="274" spans="1:14">
      <c r="A274" s="35" t="s">
        <v>90</v>
      </c>
      <c r="B274" s="36">
        <v>45658</v>
      </c>
      <c r="C274" s="35" t="s">
        <v>27</v>
      </c>
      <c r="D274" s="35" t="s">
        <v>18</v>
      </c>
      <c r="E274" s="35">
        <v>50532.17</v>
      </c>
      <c r="F274" s="35">
        <v>5689</v>
      </c>
      <c r="G274" s="35">
        <v>5.1999999999999998E-2</v>
      </c>
      <c r="H274" s="35">
        <v>17</v>
      </c>
      <c r="I274" s="35">
        <v>85.6</v>
      </c>
      <c r="J274" s="35">
        <v>6.23</v>
      </c>
      <c r="K274" s="35">
        <v>0</v>
      </c>
      <c r="L274" s="35">
        <v>3.3</v>
      </c>
      <c r="M274" s="35">
        <v>645039.97</v>
      </c>
      <c r="N274" s="35">
        <v>83093.33</v>
      </c>
    </row>
    <row r="275" spans="1:14">
      <c r="A275" s="35" t="s">
        <v>90</v>
      </c>
      <c r="B275" s="36">
        <v>45689</v>
      </c>
      <c r="C275" s="35" t="s">
        <v>27</v>
      </c>
      <c r="D275" s="35" t="s">
        <v>18</v>
      </c>
      <c r="E275" s="35">
        <v>17562.57</v>
      </c>
      <c r="F275" s="35">
        <v>3326</v>
      </c>
      <c r="G275" s="35">
        <v>0.153</v>
      </c>
      <c r="H275" s="35">
        <v>14</v>
      </c>
      <c r="I275" s="35">
        <v>88.1</v>
      </c>
      <c r="J275" s="35">
        <v>1.04</v>
      </c>
      <c r="K275" s="35">
        <v>0</v>
      </c>
      <c r="L275" s="35">
        <v>3.1</v>
      </c>
      <c r="M275" s="35">
        <v>561597.32999999996</v>
      </c>
      <c r="N275" s="35">
        <v>75072.75</v>
      </c>
    </row>
    <row r="276" spans="1:14">
      <c r="A276" s="35" t="s">
        <v>90</v>
      </c>
      <c r="B276" s="36">
        <v>45717</v>
      </c>
      <c r="C276" s="35" t="s">
        <v>27</v>
      </c>
      <c r="D276" s="35" t="s">
        <v>18</v>
      </c>
      <c r="E276" s="35">
        <v>47648.71</v>
      </c>
      <c r="F276" s="35">
        <v>5767</v>
      </c>
      <c r="G276" s="35">
        <v>0.14099999999999999</v>
      </c>
      <c r="H276" s="35">
        <v>17</v>
      </c>
      <c r="I276" s="35">
        <v>89.8</v>
      </c>
      <c r="J276" s="35">
        <v>1.76</v>
      </c>
      <c r="K276" s="35">
        <v>0</v>
      </c>
      <c r="L276" s="35">
        <v>3.1</v>
      </c>
      <c r="M276" s="35">
        <v>635837.74</v>
      </c>
      <c r="N276" s="35">
        <v>114740.64</v>
      </c>
    </row>
    <row r="277" spans="1:14">
      <c r="A277" s="35" t="s">
        <v>90</v>
      </c>
      <c r="B277" s="36">
        <v>45748</v>
      </c>
      <c r="C277" s="35" t="s">
        <v>27</v>
      </c>
      <c r="D277" s="35" t="s">
        <v>18</v>
      </c>
      <c r="E277" s="35">
        <v>38297.58</v>
      </c>
      <c r="F277" s="35">
        <v>5893</v>
      </c>
      <c r="G277" s="35">
        <v>0.247</v>
      </c>
      <c r="H277" s="35">
        <v>18</v>
      </c>
      <c r="I277" s="35">
        <v>77.599999999999994</v>
      </c>
      <c r="J277" s="35">
        <v>2.86</v>
      </c>
      <c r="K277" s="35">
        <v>0</v>
      </c>
      <c r="L277" s="35">
        <v>3</v>
      </c>
      <c r="M277" s="35">
        <v>686737.87</v>
      </c>
      <c r="N277" s="35">
        <v>83839.67</v>
      </c>
    </row>
    <row r="278" spans="1:14">
      <c r="A278" s="35" t="s">
        <v>91</v>
      </c>
      <c r="B278" s="36">
        <v>45658</v>
      </c>
      <c r="C278" s="35" t="s">
        <v>24</v>
      </c>
      <c r="D278" s="35" t="s">
        <v>16</v>
      </c>
      <c r="E278" s="35">
        <v>61784.11</v>
      </c>
      <c r="F278" s="35">
        <v>8564</v>
      </c>
      <c r="G278" s="35">
        <v>0.13</v>
      </c>
      <c r="H278" s="35">
        <v>17</v>
      </c>
      <c r="I278" s="35">
        <v>87.4</v>
      </c>
      <c r="J278" s="35">
        <v>18.14</v>
      </c>
      <c r="K278" s="35">
        <v>1</v>
      </c>
      <c r="L278" s="35">
        <v>3.4</v>
      </c>
      <c r="M278" s="35">
        <v>673076.34</v>
      </c>
      <c r="N278" s="35">
        <v>93899.76</v>
      </c>
    </row>
    <row r="279" spans="1:14">
      <c r="A279" s="35" t="s">
        <v>91</v>
      </c>
      <c r="B279" s="36">
        <v>45689</v>
      </c>
      <c r="C279" s="35" t="s">
        <v>24</v>
      </c>
      <c r="D279" s="35" t="s">
        <v>16</v>
      </c>
      <c r="E279" s="35">
        <v>36832.33</v>
      </c>
      <c r="F279" s="35">
        <v>8001</v>
      </c>
      <c r="G279" s="35">
        <v>0</v>
      </c>
      <c r="H279" s="35">
        <v>19</v>
      </c>
      <c r="I279" s="35">
        <v>88.7</v>
      </c>
      <c r="J279" s="35">
        <v>3.39</v>
      </c>
      <c r="K279" s="35">
        <v>0</v>
      </c>
      <c r="L279" s="35">
        <v>4</v>
      </c>
      <c r="M279" s="35">
        <v>738548.42</v>
      </c>
      <c r="N279" s="35">
        <v>134282.76999999999</v>
      </c>
    </row>
    <row r="280" spans="1:14">
      <c r="A280" s="35" t="s">
        <v>91</v>
      </c>
      <c r="B280" s="36">
        <v>45717</v>
      </c>
      <c r="C280" s="35" t="s">
        <v>24</v>
      </c>
      <c r="D280" s="35" t="s">
        <v>16</v>
      </c>
      <c r="E280" s="35">
        <v>48609.41</v>
      </c>
      <c r="F280" s="35">
        <v>9324</v>
      </c>
      <c r="G280" s="35">
        <v>0.21299999999999999</v>
      </c>
      <c r="H280" s="35">
        <v>18</v>
      </c>
      <c r="I280" s="35">
        <v>86.5</v>
      </c>
      <c r="J280" s="35">
        <v>1.44</v>
      </c>
      <c r="K280" s="35">
        <v>0</v>
      </c>
      <c r="L280" s="35">
        <v>3.9</v>
      </c>
      <c r="M280" s="35">
        <v>756619.77</v>
      </c>
      <c r="N280" s="35">
        <v>112057.69</v>
      </c>
    </row>
    <row r="281" spans="1:14">
      <c r="A281" s="35" t="s">
        <v>91</v>
      </c>
      <c r="B281" s="36">
        <v>45748</v>
      </c>
      <c r="C281" s="35" t="s">
        <v>24</v>
      </c>
      <c r="D281" s="35" t="s">
        <v>16</v>
      </c>
      <c r="E281" s="35">
        <v>70284.06</v>
      </c>
      <c r="F281" s="35">
        <v>9109</v>
      </c>
      <c r="G281" s="35">
        <v>4.0000000000000001E-3</v>
      </c>
      <c r="H281" s="35">
        <v>23</v>
      </c>
      <c r="I281" s="35">
        <v>87</v>
      </c>
      <c r="J281" s="35">
        <v>3.65</v>
      </c>
      <c r="K281" s="35">
        <v>0</v>
      </c>
      <c r="L281" s="35">
        <v>3.7</v>
      </c>
      <c r="M281" s="35">
        <v>761122.42</v>
      </c>
      <c r="N281" s="35">
        <v>149802.04</v>
      </c>
    </row>
    <row r="282" spans="1:14">
      <c r="A282" s="35" t="s">
        <v>92</v>
      </c>
      <c r="B282" s="36">
        <v>45658</v>
      </c>
      <c r="C282" s="35" t="s">
        <v>24</v>
      </c>
      <c r="D282" s="35" t="s">
        <v>18</v>
      </c>
      <c r="E282" s="35">
        <v>45940.39</v>
      </c>
      <c r="F282" s="35">
        <v>4022</v>
      </c>
      <c r="G282" s="35">
        <v>6.9000000000000006E-2</v>
      </c>
      <c r="H282" s="35">
        <v>10</v>
      </c>
      <c r="I282" s="35">
        <v>83</v>
      </c>
      <c r="J282" s="35">
        <v>1.23</v>
      </c>
      <c r="K282" s="35">
        <v>1</v>
      </c>
      <c r="L282" s="35">
        <v>3.8</v>
      </c>
      <c r="M282" s="35">
        <v>524899.56999999995</v>
      </c>
      <c r="N282" s="35">
        <v>63619.98</v>
      </c>
    </row>
    <row r="283" spans="1:14">
      <c r="A283" s="35" t="s">
        <v>92</v>
      </c>
      <c r="B283" s="36">
        <v>45689</v>
      </c>
      <c r="C283" s="35" t="s">
        <v>24</v>
      </c>
      <c r="D283" s="35" t="s">
        <v>18</v>
      </c>
      <c r="E283" s="35">
        <v>34771.26</v>
      </c>
      <c r="F283" s="35">
        <v>4355</v>
      </c>
      <c r="G283" s="35">
        <v>5.0999999999999997E-2</v>
      </c>
      <c r="H283" s="35">
        <v>15</v>
      </c>
      <c r="I283" s="35">
        <v>87.9</v>
      </c>
      <c r="J283" s="35">
        <v>3.09</v>
      </c>
      <c r="K283" s="35">
        <v>0</v>
      </c>
      <c r="L283" s="35">
        <v>4</v>
      </c>
      <c r="M283" s="35">
        <v>555557.77</v>
      </c>
      <c r="N283" s="35">
        <v>86475.51</v>
      </c>
    </row>
    <row r="284" spans="1:14">
      <c r="A284" s="35" t="s">
        <v>92</v>
      </c>
      <c r="B284" s="36">
        <v>45717</v>
      </c>
      <c r="C284" s="35" t="s">
        <v>24</v>
      </c>
      <c r="D284" s="35" t="s">
        <v>18</v>
      </c>
      <c r="E284" s="35">
        <v>66104.19</v>
      </c>
      <c r="F284" s="35">
        <v>5745</v>
      </c>
      <c r="G284" s="35">
        <v>7.0000000000000007E-2</v>
      </c>
      <c r="H284" s="35">
        <v>17</v>
      </c>
      <c r="I284" s="35">
        <v>95.8</v>
      </c>
      <c r="J284" s="35">
        <v>3.15</v>
      </c>
      <c r="K284" s="35">
        <v>0</v>
      </c>
      <c r="L284" s="35">
        <v>4</v>
      </c>
      <c r="M284" s="35">
        <v>714083.68</v>
      </c>
      <c r="N284" s="35">
        <v>127231.74</v>
      </c>
    </row>
    <row r="285" spans="1:14">
      <c r="A285" s="35" t="s">
        <v>92</v>
      </c>
      <c r="B285" s="36">
        <v>45748</v>
      </c>
      <c r="C285" s="35" t="s">
        <v>24</v>
      </c>
      <c r="D285" s="35" t="s">
        <v>18</v>
      </c>
      <c r="E285" s="35">
        <v>18599.21</v>
      </c>
      <c r="F285" s="35">
        <v>3027</v>
      </c>
      <c r="G285" s="35">
        <v>0.122</v>
      </c>
      <c r="H285" s="35">
        <v>11</v>
      </c>
      <c r="I285" s="35">
        <v>80.900000000000006</v>
      </c>
      <c r="J285" s="35">
        <v>6.44</v>
      </c>
      <c r="K285" s="35">
        <v>0</v>
      </c>
      <c r="L285" s="35">
        <v>4.2</v>
      </c>
      <c r="M285" s="35">
        <v>497439.82</v>
      </c>
      <c r="N285" s="35">
        <v>93372.75</v>
      </c>
    </row>
    <row r="286" spans="1:14">
      <c r="A286" s="35" t="s">
        <v>93</v>
      </c>
      <c r="B286" s="36">
        <v>45658</v>
      </c>
      <c r="C286" s="35" t="s">
        <v>27</v>
      </c>
      <c r="D286" s="35" t="s">
        <v>16</v>
      </c>
      <c r="E286" s="35">
        <v>60183.06</v>
      </c>
      <c r="F286" s="35">
        <v>5562</v>
      </c>
      <c r="G286" s="35">
        <v>8.9999999999999993E-3</v>
      </c>
      <c r="H286" s="35">
        <v>13</v>
      </c>
      <c r="I286" s="35">
        <v>86.3</v>
      </c>
      <c r="J286" s="35">
        <v>0.2</v>
      </c>
      <c r="K286" s="35">
        <v>1</v>
      </c>
      <c r="L286" s="35">
        <v>4.5</v>
      </c>
      <c r="M286" s="35">
        <v>636775.66</v>
      </c>
      <c r="N286" s="35">
        <v>122636.86</v>
      </c>
    </row>
    <row r="287" spans="1:14">
      <c r="A287" s="35" t="s">
        <v>93</v>
      </c>
      <c r="B287" s="36">
        <v>45689</v>
      </c>
      <c r="C287" s="35" t="s">
        <v>27</v>
      </c>
      <c r="D287" s="35" t="s">
        <v>16</v>
      </c>
      <c r="E287" s="35">
        <v>74539.14</v>
      </c>
      <c r="F287" s="35">
        <v>4487</v>
      </c>
      <c r="G287" s="35">
        <v>0.14000000000000001</v>
      </c>
      <c r="H287" s="35">
        <v>10</v>
      </c>
      <c r="I287" s="35">
        <v>90.4</v>
      </c>
      <c r="J287" s="35">
        <v>0.59</v>
      </c>
      <c r="K287" s="35">
        <v>0</v>
      </c>
      <c r="L287" s="35">
        <v>4.5</v>
      </c>
      <c r="M287" s="35">
        <v>633009.53</v>
      </c>
      <c r="N287" s="35">
        <v>123782.67</v>
      </c>
    </row>
    <row r="288" spans="1:14">
      <c r="A288" s="35" t="s">
        <v>93</v>
      </c>
      <c r="B288" s="36">
        <v>45717</v>
      </c>
      <c r="C288" s="35" t="s">
        <v>27</v>
      </c>
      <c r="D288" s="35" t="s">
        <v>16</v>
      </c>
      <c r="E288" s="35">
        <v>55371.97</v>
      </c>
      <c r="F288" s="35">
        <v>4162</v>
      </c>
      <c r="G288" s="35">
        <v>0.183</v>
      </c>
      <c r="H288" s="35">
        <v>11</v>
      </c>
      <c r="I288" s="35">
        <v>92</v>
      </c>
      <c r="J288" s="35">
        <v>0.2</v>
      </c>
      <c r="K288" s="35">
        <v>1</v>
      </c>
      <c r="L288" s="35">
        <v>4.2</v>
      </c>
      <c r="M288" s="35">
        <v>609949</v>
      </c>
      <c r="N288" s="35">
        <v>126789.25</v>
      </c>
    </row>
    <row r="289" spans="1:14">
      <c r="A289" s="35" t="s">
        <v>93</v>
      </c>
      <c r="B289" s="36">
        <v>45748</v>
      </c>
      <c r="C289" s="35" t="s">
        <v>27</v>
      </c>
      <c r="D289" s="35" t="s">
        <v>16</v>
      </c>
      <c r="E289" s="35">
        <v>40928.69</v>
      </c>
      <c r="F289" s="35">
        <v>4094</v>
      </c>
      <c r="G289" s="35">
        <v>0.17399999999999999</v>
      </c>
      <c r="H289" s="35">
        <v>13</v>
      </c>
      <c r="I289" s="35">
        <v>82.4</v>
      </c>
      <c r="J289" s="35">
        <v>1.36</v>
      </c>
      <c r="K289" s="35">
        <v>0</v>
      </c>
      <c r="L289" s="35">
        <v>4.8</v>
      </c>
      <c r="M289" s="35">
        <v>548103.69999999995</v>
      </c>
      <c r="N289" s="35">
        <v>99905.52</v>
      </c>
    </row>
    <row r="290" spans="1:14">
      <c r="A290" s="35" t="s">
        <v>94</v>
      </c>
      <c r="B290" s="36">
        <v>45658</v>
      </c>
      <c r="C290" s="35" t="s">
        <v>15</v>
      </c>
      <c r="D290" s="35" t="s">
        <v>16</v>
      </c>
      <c r="E290" s="35">
        <v>70012.41</v>
      </c>
      <c r="F290" s="35">
        <v>8484</v>
      </c>
      <c r="G290" s="35">
        <v>0.27300000000000002</v>
      </c>
      <c r="H290" s="35">
        <v>23</v>
      </c>
      <c r="I290" s="35">
        <v>72.900000000000006</v>
      </c>
      <c r="J290" s="35">
        <v>3.34</v>
      </c>
      <c r="K290" s="35">
        <v>0</v>
      </c>
      <c r="L290" s="35">
        <v>3.7</v>
      </c>
      <c r="M290" s="35">
        <v>729424.42</v>
      </c>
      <c r="N290" s="35">
        <v>75592.28</v>
      </c>
    </row>
    <row r="291" spans="1:14">
      <c r="A291" s="35" t="s">
        <v>94</v>
      </c>
      <c r="B291" s="36">
        <v>45689</v>
      </c>
      <c r="C291" s="35" t="s">
        <v>15</v>
      </c>
      <c r="D291" s="35" t="s">
        <v>16</v>
      </c>
      <c r="E291" s="35">
        <v>68909.259999999995</v>
      </c>
      <c r="F291" s="35">
        <v>7794</v>
      </c>
      <c r="G291" s="35">
        <v>0.28399999999999997</v>
      </c>
      <c r="H291" s="35">
        <v>22</v>
      </c>
      <c r="I291" s="35">
        <v>89</v>
      </c>
      <c r="J291" s="35">
        <v>0.33</v>
      </c>
      <c r="K291" s="35">
        <v>0</v>
      </c>
      <c r="L291" s="35">
        <v>4</v>
      </c>
      <c r="M291" s="35">
        <v>696261.49</v>
      </c>
      <c r="N291" s="35">
        <v>72455.350000000006</v>
      </c>
    </row>
    <row r="292" spans="1:14">
      <c r="A292" s="35" t="s">
        <v>94</v>
      </c>
      <c r="B292" s="36">
        <v>45717</v>
      </c>
      <c r="C292" s="35" t="s">
        <v>15</v>
      </c>
      <c r="D292" s="35" t="s">
        <v>16</v>
      </c>
      <c r="E292" s="35">
        <v>56737.3</v>
      </c>
      <c r="F292" s="35">
        <v>8300</v>
      </c>
      <c r="G292" s="35">
        <v>3.2000000000000001E-2</v>
      </c>
      <c r="H292" s="35">
        <v>21</v>
      </c>
      <c r="I292" s="35">
        <v>83.2</v>
      </c>
      <c r="J292" s="35">
        <v>3.44</v>
      </c>
      <c r="K292" s="35">
        <v>1</v>
      </c>
      <c r="L292" s="35">
        <v>4.3</v>
      </c>
      <c r="M292" s="35">
        <v>813316.71</v>
      </c>
      <c r="N292" s="35">
        <v>110077.42</v>
      </c>
    </row>
    <row r="293" spans="1:14">
      <c r="A293" s="35" t="s">
        <v>94</v>
      </c>
      <c r="B293" s="36">
        <v>45748</v>
      </c>
      <c r="C293" s="35" t="s">
        <v>15</v>
      </c>
      <c r="D293" s="35" t="s">
        <v>16</v>
      </c>
      <c r="E293" s="35">
        <v>54080.91</v>
      </c>
      <c r="F293" s="35">
        <v>7083</v>
      </c>
      <c r="G293" s="35">
        <v>0</v>
      </c>
      <c r="H293" s="35">
        <v>15</v>
      </c>
      <c r="I293" s="35">
        <v>97</v>
      </c>
      <c r="J293" s="35">
        <v>5.33</v>
      </c>
      <c r="K293" s="35">
        <v>0</v>
      </c>
      <c r="L293" s="35">
        <v>4.0999999999999996</v>
      </c>
      <c r="M293" s="35">
        <v>702068.92</v>
      </c>
      <c r="N293" s="35">
        <v>111266.63</v>
      </c>
    </row>
    <row r="294" spans="1:14">
      <c r="A294" s="35" t="s">
        <v>95</v>
      </c>
      <c r="B294" s="36">
        <v>45658</v>
      </c>
      <c r="C294" s="35" t="s">
        <v>27</v>
      </c>
      <c r="D294" s="35" t="s">
        <v>18</v>
      </c>
      <c r="E294" s="35">
        <v>51996.32</v>
      </c>
      <c r="F294" s="35">
        <v>3834</v>
      </c>
      <c r="G294" s="35">
        <v>9.6000000000000002E-2</v>
      </c>
      <c r="H294" s="35">
        <v>8</v>
      </c>
      <c r="I294" s="35">
        <v>86.7</v>
      </c>
      <c r="J294" s="35">
        <v>6.04</v>
      </c>
      <c r="K294" s="35">
        <v>0</v>
      </c>
      <c r="L294" s="35">
        <v>4.5</v>
      </c>
      <c r="M294" s="35">
        <v>546223.69999999995</v>
      </c>
      <c r="N294" s="35">
        <v>100769.17</v>
      </c>
    </row>
    <row r="295" spans="1:14">
      <c r="A295" s="35" t="s">
        <v>95</v>
      </c>
      <c r="B295" s="36">
        <v>45689</v>
      </c>
      <c r="C295" s="35" t="s">
        <v>27</v>
      </c>
      <c r="D295" s="35" t="s">
        <v>18</v>
      </c>
      <c r="E295" s="35">
        <v>40102.879999999997</v>
      </c>
      <c r="F295" s="35">
        <v>2358</v>
      </c>
      <c r="G295" s="35">
        <v>0.11899999999999999</v>
      </c>
      <c r="H295" s="35">
        <v>9</v>
      </c>
      <c r="I295" s="35">
        <v>88.7</v>
      </c>
      <c r="J295" s="35">
        <v>1.6</v>
      </c>
      <c r="K295" s="35">
        <v>0</v>
      </c>
      <c r="L295" s="35">
        <v>4.2</v>
      </c>
      <c r="M295" s="35">
        <v>533121.26</v>
      </c>
      <c r="N295" s="35">
        <v>55063.39</v>
      </c>
    </row>
    <row r="296" spans="1:14">
      <c r="A296" s="35" t="s">
        <v>95</v>
      </c>
      <c r="B296" s="36">
        <v>45717</v>
      </c>
      <c r="C296" s="35" t="s">
        <v>27</v>
      </c>
      <c r="D296" s="35" t="s">
        <v>18</v>
      </c>
      <c r="E296" s="35">
        <v>59825.51</v>
      </c>
      <c r="F296" s="35">
        <v>1231</v>
      </c>
      <c r="G296" s="35">
        <v>0.214</v>
      </c>
      <c r="H296" s="35">
        <v>10</v>
      </c>
      <c r="I296" s="35">
        <v>84.8</v>
      </c>
      <c r="J296" s="35">
        <v>8.9600000000000009</v>
      </c>
      <c r="K296" s="35">
        <v>0</v>
      </c>
      <c r="L296" s="35">
        <v>4.7</v>
      </c>
      <c r="M296" s="35">
        <v>498970.32</v>
      </c>
      <c r="N296" s="35">
        <v>69656.7</v>
      </c>
    </row>
    <row r="297" spans="1:14">
      <c r="A297" s="35" t="s">
        <v>95</v>
      </c>
      <c r="B297" s="36">
        <v>45748</v>
      </c>
      <c r="C297" s="35" t="s">
        <v>27</v>
      </c>
      <c r="D297" s="35" t="s">
        <v>18</v>
      </c>
      <c r="E297" s="35">
        <v>27398.28</v>
      </c>
      <c r="F297" s="35">
        <v>1723</v>
      </c>
      <c r="G297" s="35">
        <v>0.17100000000000001</v>
      </c>
      <c r="H297" s="35">
        <v>9</v>
      </c>
      <c r="I297" s="35">
        <v>81</v>
      </c>
      <c r="J297" s="35">
        <v>0.74</v>
      </c>
      <c r="K297" s="35">
        <v>0</v>
      </c>
      <c r="L297" s="35">
        <v>4.5999999999999996</v>
      </c>
      <c r="M297" s="35">
        <v>487738.26</v>
      </c>
      <c r="N297" s="35">
        <v>96435.6</v>
      </c>
    </row>
    <row r="298" spans="1:14">
      <c r="A298" s="35" t="s">
        <v>96</v>
      </c>
      <c r="B298" s="36">
        <v>45658</v>
      </c>
      <c r="C298" s="35" t="s">
        <v>27</v>
      </c>
      <c r="D298" s="35" t="s">
        <v>18</v>
      </c>
      <c r="E298" s="35">
        <v>55599.56</v>
      </c>
      <c r="F298" s="35">
        <v>5896</v>
      </c>
      <c r="G298" s="35">
        <v>3.5999999999999997E-2</v>
      </c>
      <c r="H298" s="35">
        <v>12</v>
      </c>
      <c r="I298" s="35">
        <v>93.1</v>
      </c>
      <c r="J298" s="35">
        <v>6.13</v>
      </c>
      <c r="K298" s="35">
        <v>0</v>
      </c>
      <c r="L298" s="35">
        <v>3.3</v>
      </c>
      <c r="M298" s="35">
        <v>668459.37</v>
      </c>
      <c r="N298" s="35">
        <v>126435.42</v>
      </c>
    </row>
    <row r="299" spans="1:14">
      <c r="A299" s="35" t="s">
        <v>96</v>
      </c>
      <c r="B299" s="36">
        <v>45689</v>
      </c>
      <c r="C299" s="35" t="s">
        <v>27</v>
      </c>
      <c r="D299" s="35" t="s">
        <v>18</v>
      </c>
      <c r="E299" s="35">
        <v>55477.61</v>
      </c>
      <c r="F299" s="35">
        <v>5903</v>
      </c>
      <c r="G299" s="35">
        <v>0.10199999999999999</v>
      </c>
      <c r="H299" s="35">
        <v>14</v>
      </c>
      <c r="I299" s="35">
        <v>96.2</v>
      </c>
      <c r="J299" s="35">
        <v>1.41</v>
      </c>
      <c r="K299" s="35">
        <v>0</v>
      </c>
      <c r="L299" s="35">
        <v>3.3</v>
      </c>
      <c r="M299" s="35">
        <v>763162.45</v>
      </c>
      <c r="N299" s="35">
        <v>162524.04999999999</v>
      </c>
    </row>
    <row r="300" spans="1:14">
      <c r="A300" s="35" t="s">
        <v>96</v>
      </c>
      <c r="B300" s="36">
        <v>45717</v>
      </c>
      <c r="C300" s="35" t="s">
        <v>27</v>
      </c>
      <c r="D300" s="35" t="s">
        <v>18</v>
      </c>
      <c r="E300" s="35">
        <v>46174.7</v>
      </c>
      <c r="F300" s="35">
        <v>4898</v>
      </c>
      <c r="G300" s="35">
        <v>0.114</v>
      </c>
      <c r="H300" s="35">
        <v>11</v>
      </c>
      <c r="I300" s="35">
        <v>91.7</v>
      </c>
      <c r="J300" s="35">
        <v>3.75</v>
      </c>
      <c r="K300" s="35">
        <v>0</v>
      </c>
      <c r="L300" s="35">
        <v>3.1</v>
      </c>
      <c r="M300" s="35">
        <v>599017.32999999996</v>
      </c>
      <c r="N300" s="35">
        <v>134009.92000000001</v>
      </c>
    </row>
    <row r="301" spans="1:14">
      <c r="A301" s="35" t="s">
        <v>96</v>
      </c>
      <c r="B301" s="36">
        <v>45748</v>
      </c>
      <c r="C301" s="35" t="s">
        <v>27</v>
      </c>
      <c r="D301" s="35" t="s">
        <v>18</v>
      </c>
      <c r="E301" s="35">
        <v>24362.98</v>
      </c>
      <c r="F301" s="35">
        <v>1462</v>
      </c>
      <c r="G301" s="35">
        <v>0.11700000000000001</v>
      </c>
      <c r="H301" s="35">
        <v>6</v>
      </c>
      <c r="I301" s="35">
        <v>89.3</v>
      </c>
      <c r="J301" s="35">
        <v>15.06</v>
      </c>
      <c r="K301" s="35">
        <v>0</v>
      </c>
      <c r="L301" s="35">
        <v>3.2</v>
      </c>
      <c r="M301" s="35">
        <v>401582.58</v>
      </c>
      <c r="N301" s="35">
        <v>68454.929999999993</v>
      </c>
    </row>
    <row r="302" spans="1:14">
      <c r="A302" s="35" t="s">
        <v>97</v>
      </c>
      <c r="B302" s="36">
        <v>45658</v>
      </c>
      <c r="C302" s="35" t="s">
        <v>20</v>
      </c>
      <c r="D302" s="35" t="s">
        <v>28</v>
      </c>
      <c r="E302" s="35">
        <v>40647.67</v>
      </c>
      <c r="F302" s="35">
        <v>8252</v>
      </c>
      <c r="G302" s="35">
        <v>0.14099999999999999</v>
      </c>
      <c r="H302" s="35">
        <v>22</v>
      </c>
      <c r="I302" s="35">
        <v>88.2</v>
      </c>
      <c r="J302" s="35">
        <v>5.07</v>
      </c>
      <c r="K302" s="35">
        <v>1</v>
      </c>
      <c r="L302" s="35">
        <v>4.0999999999999996</v>
      </c>
      <c r="M302" s="35">
        <v>703812.99</v>
      </c>
      <c r="N302" s="35">
        <v>133577.98000000001</v>
      </c>
    </row>
    <row r="303" spans="1:14">
      <c r="A303" s="35" t="s">
        <v>97</v>
      </c>
      <c r="B303" s="36">
        <v>45689</v>
      </c>
      <c r="C303" s="35" t="s">
        <v>20</v>
      </c>
      <c r="D303" s="35" t="s">
        <v>28</v>
      </c>
      <c r="E303" s="35">
        <v>63986.98</v>
      </c>
      <c r="F303" s="35">
        <v>7989</v>
      </c>
      <c r="G303" s="35">
        <v>7.3999999999999996E-2</v>
      </c>
      <c r="H303" s="35">
        <v>20</v>
      </c>
      <c r="I303" s="35">
        <v>83.3</v>
      </c>
      <c r="J303" s="35">
        <v>3.6</v>
      </c>
      <c r="K303" s="35">
        <v>0</v>
      </c>
      <c r="L303" s="35">
        <v>3.7</v>
      </c>
      <c r="M303" s="35">
        <v>724346.73</v>
      </c>
      <c r="N303" s="35">
        <v>155013.91</v>
      </c>
    </row>
    <row r="304" spans="1:14">
      <c r="A304" s="35" t="s">
        <v>97</v>
      </c>
      <c r="B304" s="36">
        <v>45717</v>
      </c>
      <c r="C304" s="35" t="s">
        <v>20</v>
      </c>
      <c r="D304" s="35" t="s">
        <v>28</v>
      </c>
      <c r="E304" s="35">
        <v>52843.75</v>
      </c>
      <c r="F304" s="35">
        <v>8268</v>
      </c>
      <c r="G304" s="35">
        <v>0.13800000000000001</v>
      </c>
      <c r="H304" s="35">
        <v>19</v>
      </c>
      <c r="I304" s="35">
        <v>87.3</v>
      </c>
      <c r="J304" s="35">
        <v>4.3899999999999997</v>
      </c>
      <c r="K304" s="35">
        <v>1</v>
      </c>
      <c r="L304" s="35">
        <v>4.7</v>
      </c>
      <c r="M304" s="35">
        <v>730890.01</v>
      </c>
      <c r="N304" s="35">
        <v>105502.56</v>
      </c>
    </row>
    <row r="305" spans="1:14">
      <c r="A305" s="35" t="s">
        <v>97</v>
      </c>
      <c r="B305" s="36">
        <v>45748</v>
      </c>
      <c r="C305" s="35" t="s">
        <v>20</v>
      </c>
      <c r="D305" s="35" t="s">
        <v>28</v>
      </c>
      <c r="E305" s="35">
        <v>31997.25</v>
      </c>
      <c r="F305" s="35">
        <v>8183</v>
      </c>
      <c r="G305" s="35">
        <v>0.19800000000000001</v>
      </c>
      <c r="H305" s="35">
        <v>18</v>
      </c>
      <c r="I305" s="35">
        <v>93</v>
      </c>
      <c r="J305" s="35">
        <v>2.79</v>
      </c>
      <c r="K305" s="35">
        <v>0</v>
      </c>
      <c r="L305" s="35">
        <v>4.2</v>
      </c>
      <c r="M305" s="35">
        <v>780580.95</v>
      </c>
      <c r="N305" s="35">
        <v>138144.46</v>
      </c>
    </row>
    <row r="306" spans="1:14">
      <c r="A306" s="35" t="s">
        <v>98</v>
      </c>
      <c r="B306" s="36">
        <v>45658</v>
      </c>
      <c r="C306" s="35" t="s">
        <v>24</v>
      </c>
      <c r="D306" s="35" t="s">
        <v>16</v>
      </c>
      <c r="E306" s="35">
        <v>54948.02</v>
      </c>
      <c r="F306" s="35">
        <v>6534</v>
      </c>
      <c r="G306" s="35">
        <v>0.183</v>
      </c>
      <c r="H306" s="35">
        <v>14</v>
      </c>
      <c r="I306" s="35">
        <v>94.5</v>
      </c>
      <c r="J306" s="35">
        <v>1.56</v>
      </c>
      <c r="K306" s="35">
        <v>0</v>
      </c>
      <c r="L306" s="35">
        <v>4</v>
      </c>
      <c r="M306" s="35">
        <v>727957.48</v>
      </c>
      <c r="N306" s="35">
        <v>74805.23</v>
      </c>
    </row>
    <row r="307" spans="1:14">
      <c r="A307" s="35" t="s">
        <v>98</v>
      </c>
      <c r="B307" s="36">
        <v>45689</v>
      </c>
      <c r="C307" s="35" t="s">
        <v>24</v>
      </c>
      <c r="D307" s="35" t="s">
        <v>16</v>
      </c>
      <c r="E307" s="35">
        <v>46146.239999999998</v>
      </c>
      <c r="F307" s="35">
        <v>5804</v>
      </c>
      <c r="G307" s="35">
        <v>4.7E-2</v>
      </c>
      <c r="H307" s="35">
        <v>16</v>
      </c>
      <c r="I307" s="35">
        <v>86.9</v>
      </c>
      <c r="J307" s="35">
        <v>15.82</v>
      </c>
      <c r="K307" s="35">
        <v>0</v>
      </c>
      <c r="L307" s="35">
        <v>3.8</v>
      </c>
      <c r="M307" s="35">
        <v>538376</v>
      </c>
      <c r="N307" s="35">
        <v>87605.62</v>
      </c>
    </row>
    <row r="308" spans="1:14">
      <c r="A308" s="35" t="s">
        <v>98</v>
      </c>
      <c r="B308" s="36">
        <v>45717</v>
      </c>
      <c r="C308" s="35" t="s">
        <v>24</v>
      </c>
      <c r="D308" s="35" t="s">
        <v>16</v>
      </c>
      <c r="E308" s="35">
        <v>22387.26</v>
      </c>
      <c r="F308" s="35">
        <v>6301</v>
      </c>
      <c r="G308" s="35">
        <v>0.14599999999999999</v>
      </c>
      <c r="H308" s="35">
        <v>14</v>
      </c>
      <c r="I308" s="35">
        <v>85.9</v>
      </c>
      <c r="J308" s="35">
        <v>1.17</v>
      </c>
      <c r="K308" s="35">
        <v>1</v>
      </c>
      <c r="L308" s="35">
        <v>3.7</v>
      </c>
      <c r="M308" s="35">
        <v>665342.49</v>
      </c>
      <c r="N308" s="35">
        <v>93441.81</v>
      </c>
    </row>
    <row r="309" spans="1:14">
      <c r="A309" s="35" t="s">
        <v>98</v>
      </c>
      <c r="B309" s="36">
        <v>45748</v>
      </c>
      <c r="C309" s="35" t="s">
        <v>24</v>
      </c>
      <c r="D309" s="35" t="s">
        <v>16</v>
      </c>
      <c r="E309" s="35">
        <v>60684.05</v>
      </c>
      <c r="F309" s="35">
        <v>6399</v>
      </c>
      <c r="G309" s="35">
        <v>7.4999999999999997E-2</v>
      </c>
      <c r="H309" s="35">
        <v>16</v>
      </c>
      <c r="I309" s="35">
        <v>99</v>
      </c>
      <c r="J309" s="35">
        <v>3.82</v>
      </c>
      <c r="K309" s="35">
        <v>0</v>
      </c>
      <c r="L309" s="35">
        <v>3.5</v>
      </c>
      <c r="M309" s="35">
        <v>651164.18000000005</v>
      </c>
      <c r="N309" s="35">
        <v>109466.5</v>
      </c>
    </row>
    <row r="310" spans="1:14">
      <c r="A310" s="35" t="s">
        <v>99</v>
      </c>
      <c r="B310" s="36">
        <v>45658</v>
      </c>
      <c r="C310" s="35" t="s">
        <v>24</v>
      </c>
      <c r="D310" s="35" t="s">
        <v>18</v>
      </c>
      <c r="E310" s="35">
        <v>48465.599999999999</v>
      </c>
      <c r="F310" s="35">
        <v>5759</v>
      </c>
      <c r="G310" s="35">
        <v>0.154</v>
      </c>
      <c r="H310" s="35">
        <v>13</v>
      </c>
      <c r="I310" s="35">
        <v>87.5</v>
      </c>
      <c r="J310" s="35">
        <v>4.1399999999999997</v>
      </c>
      <c r="K310" s="35">
        <v>0</v>
      </c>
      <c r="L310" s="35">
        <v>4</v>
      </c>
      <c r="M310" s="35">
        <v>628538.30000000005</v>
      </c>
      <c r="N310" s="35">
        <v>112509.15</v>
      </c>
    </row>
    <row r="311" spans="1:14">
      <c r="A311" s="35" t="s">
        <v>99</v>
      </c>
      <c r="B311" s="36">
        <v>45689</v>
      </c>
      <c r="C311" s="35" t="s">
        <v>24</v>
      </c>
      <c r="D311" s="35" t="s">
        <v>18</v>
      </c>
      <c r="E311" s="35">
        <v>23702.38</v>
      </c>
      <c r="F311" s="35">
        <v>5285</v>
      </c>
      <c r="G311" s="35">
        <v>0.16700000000000001</v>
      </c>
      <c r="H311" s="35">
        <v>14</v>
      </c>
      <c r="I311" s="35">
        <v>79.7</v>
      </c>
      <c r="J311" s="35">
        <v>1.1000000000000001</v>
      </c>
      <c r="K311" s="35">
        <v>0</v>
      </c>
      <c r="L311" s="35">
        <v>4.3</v>
      </c>
      <c r="M311" s="35">
        <v>536524.84</v>
      </c>
      <c r="N311" s="35">
        <v>92752.94</v>
      </c>
    </row>
    <row r="312" spans="1:14">
      <c r="A312" s="35" t="s">
        <v>99</v>
      </c>
      <c r="B312" s="36">
        <v>45717</v>
      </c>
      <c r="C312" s="35" t="s">
        <v>24</v>
      </c>
      <c r="D312" s="35" t="s">
        <v>18</v>
      </c>
      <c r="E312" s="35">
        <v>54322.94</v>
      </c>
      <c r="F312" s="35">
        <v>5434</v>
      </c>
      <c r="G312" s="35">
        <v>0.2</v>
      </c>
      <c r="H312" s="35">
        <v>13</v>
      </c>
      <c r="I312" s="35">
        <v>85.7</v>
      </c>
      <c r="J312" s="35">
        <v>10.6</v>
      </c>
      <c r="K312" s="35">
        <v>0</v>
      </c>
      <c r="L312" s="35">
        <v>4.2</v>
      </c>
      <c r="M312" s="35">
        <v>621677.30000000005</v>
      </c>
      <c r="N312" s="35">
        <v>105192.52</v>
      </c>
    </row>
    <row r="313" spans="1:14">
      <c r="A313" s="35" t="s">
        <v>99</v>
      </c>
      <c r="B313" s="36">
        <v>45748</v>
      </c>
      <c r="C313" s="35" t="s">
        <v>24</v>
      </c>
      <c r="D313" s="35" t="s">
        <v>18</v>
      </c>
      <c r="E313" s="35">
        <v>86026.58</v>
      </c>
      <c r="F313" s="35">
        <v>7479</v>
      </c>
      <c r="G313" s="35">
        <v>0.14199999999999999</v>
      </c>
      <c r="H313" s="35">
        <v>20</v>
      </c>
      <c r="I313" s="35">
        <v>89</v>
      </c>
      <c r="J313" s="35">
        <v>0.9</v>
      </c>
      <c r="K313" s="35">
        <v>0</v>
      </c>
      <c r="L313" s="35"/>
      <c r="M313" s="35">
        <v>771129.07</v>
      </c>
      <c r="N313" s="35">
        <v>116851.13</v>
      </c>
    </row>
    <row r="314" spans="1:14">
      <c r="A314" s="35" t="s">
        <v>100</v>
      </c>
      <c r="B314" s="36">
        <v>45658</v>
      </c>
      <c r="C314" s="35" t="s">
        <v>20</v>
      </c>
      <c r="D314" s="35" t="s">
        <v>16</v>
      </c>
      <c r="E314" s="35">
        <v>78967.520000000004</v>
      </c>
      <c r="F314" s="35">
        <v>6164</v>
      </c>
      <c r="G314" s="35">
        <v>2.1000000000000001E-2</v>
      </c>
      <c r="H314" s="35">
        <v>16</v>
      </c>
      <c r="I314" s="35">
        <v>85.5</v>
      </c>
      <c r="J314" s="35">
        <v>0.2</v>
      </c>
      <c r="K314" s="35">
        <v>0</v>
      </c>
      <c r="L314" s="35">
        <v>3.4</v>
      </c>
      <c r="M314" s="35">
        <v>702052.47</v>
      </c>
      <c r="N314" s="35">
        <v>121732.51</v>
      </c>
    </row>
    <row r="315" spans="1:14">
      <c r="A315" s="35" t="s">
        <v>100</v>
      </c>
      <c r="B315" s="36">
        <v>45689</v>
      </c>
      <c r="C315" s="35" t="s">
        <v>20</v>
      </c>
      <c r="D315" s="35" t="s">
        <v>16</v>
      </c>
      <c r="E315" s="35">
        <v>46767.99</v>
      </c>
      <c r="F315" s="35">
        <v>7973</v>
      </c>
      <c r="G315" s="35">
        <v>0.183</v>
      </c>
      <c r="H315" s="35">
        <v>18</v>
      </c>
      <c r="I315" s="35">
        <v>94.8</v>
      </c>
      <c r="J315" s="35">
        <v>4.67</v>
      </c>
      <c r="K315" s="35">
        <v>0</v>
      </c>
      <c r="L315" s="35"/>
      <c r="M315" s="35">
        <v>688368.46</v>
      </c>
      <c r="N315" s="35">
        <v>93588.42</v>
      </c>
    </row>
    <row r="316" spans="1:14">
      <c r="A316" s="35" t="s">
        <v>100</v>
      </c>
      <c r="B316" s="36">
        <v>45717</v>
      </c>
      <c r="C316" s="35" t="s">
        <v>20</v>
      </c>
      <c r="D316" s="35" t="s">
        <v>16</v>
      </c>
      <c r="E316" s="35">
        <v>62507.16</v>
      </c>
      <c r="F316" s="35">
        <v>6000</v>
      </c>
      <c r="G316" s="35">
        <v>9.0999999999999998E-2</v>
      </c>
      <c r="H316" s="35">
        <v>14</v>
      </c>
      <c r="I316" s="35">
        <v>98.2</v>
      </c>
      <c r="J316" s="35">
        <v>4.38</v>
      </c>
      <c r="K316" s="35">
        <v>1</v>
      </c>
      <c r="L316" s="35">
        <v>3.9</v>
      </c>
      <c r="M316" s="35">
        <v>712375.77</v>
      </c>
      <c r="N316" s="35">
        <v>104171.53</v>
      </c>
    </row>
    <row r="317" spans="1:14">
      <c r="A317" s="35" t="s">
        <v>100</v>
      </c>
      <c r="B317" s="36">
        <v>45748</v>
      </c>
      <c r="C317" s="35" t="s">
        <v>20</v>
      </c>
      <c r="D317" s="35" t="s">
        <v>16</v>
      </c>
      <c r="E317" s="35">
        <v>66456.28</v>
      </c>
      <c r="F317" s="35">
        <v>9967</v>
      </c>
      <c r="G317" s="35">
        <v>0.108</v>
      </c>
      <c r="H317" s="35">
        <v>20</v>
      </c>
      <c r="I317" s="35">
        <v>94.7</v>
      </c>
      <c r="J317" s="35">
        <v>4.4800000000000004</v>
      </c>
      <c r="K317" s="35">
        <v>0</v>
      </c>
      <c r="L317" s="35">
        <v>4.2</v>
      </c>
      <c r="M317" s="35">
        <v>844710.67</v>
      </c>
      <c r="N317" s="35">
        <v>137140.18</v>
      </c>
    </row>
    <row r="318" spans="1:14">
      <c r="A318" s="35" t="s">
        <v>101</v>
      </c>
      <c r="B318" s="36">
        <v>45658</v>
      </c>
      <c r="C318" s="35" t="s">
        <v>15</v>
      </c>
      <c r="D318" s="35" t="s">
        <v>16</v>
      </c>
      <c r="E318" s="35">
        <v>76614.320000000007</v>
      </c>
      <c r="F318" s="35">
        <v>5639</v>
      </c>
      <c r="G318" s="35">
        <v>0.17399999999999999</v>
      </c>
      <c r="H318" s="35">
        <v>15</v>
      </c>
      <c r="I318" s="35">
        <v>92.9</v>
      </c>
      <c r="J318" s="35">
        <v>1.02</v>
      </c>
      <c r="K318" s="35">
        <v>1</v>
      </c>
      <c r="L318" s="35">
        <v>4</v>
      </c>
      <c r="M318" s="35">
        <v>620264.19999999995</v>
      </c>
      <c r="N318" s="35">
        <v>91365.64</v>
      </c>
    </row>
    <row r="319" spans="1:14">
      <c r="A319" s="35" t="s">
        <v>101</v>
      </c>
      <c r="B319" s="36">
        <v>45689</v>
      </c>
      <c r="C319" s="35" t="s">
        <v>15</v>
      </c>
      <c r="D319" s="35" t="s">
        <v>16</v>
      </c>
      <c r="E319" s="35">
        <v>24088.06</v>
      </c>
      <c r="F319" s="35">
        <v>3466</v>
      </c>
      <c r="G319" s="35">
        <v>0</v>
      </c>
      <c r="H319" s="35">
        <v>11</v>
      </c>
      <c r="I319" s="35">
        <v>88</v>
      </c>
      <c r="J319" s="35">
        <v>0.2</v>
      </c>
      <c r="K319" s="35">
        <v>0</v>
      </c>
      <c r="L319" s="35">
        <v>3.8</v>
      </c>
      <c r="M319" s="35">
        <v>536845.42000000004</v>
      </c>
      <c r="N319" s="35">
        <v>107473.75</v>
      </c>
    </row>
    <row r="320" spans="1:14">
      <c r="A320" s="35" t="s">
        <v>101</v>
      </c>
      <c r="B320" s="36">
        <v>45717</v>
      </c>
      <c r="C320" s="35" t="s">
        <v>15</v>
      </c>
      <c r="D320" s="35" t="s">
        <v>16</v>
      </c>
      <c r="E320" s="35">
        <v>81902.58</v>
      </c>
      <c r="F320" s="35">
        <v>7775</v>
      </c>
      <c r="G320" s="35">
        <v>0.215</v>
      </c>
      <c r="H320" s="35">
        <v>20</v>
      </c>
      <c r="I320" s="35">
        <v>85.2</v>
      </c>
      <c r="J320" s="35">
        <v>4.8899999999999997</v>
      </c>
      <c r="K320" s="35">
        <v>1</v>
      </c>
      <c r="L320" s="35">
        <v>4.2</v>
      </c>
      <c r="M320" s="35">
        <v>726776.22</v>
      </c>
      <c r="N320" s="35">
        <v>90804.49</v>
      </c>
    </row>
    <row r="321" spans="1:14">
      <c r="A321" s="35" t="s">
        <v>101</v>
      </c>
      <c r="B321" s="36">
        <v>45748</v>
      </c>
      <c r="C321" s="35" t="s">
        <v>15</v>
      </c>
      <c r="D321" s="35" t="s">
        <v>16</v>
      </c>
      <c r="E321" s="35">
        <v>40553.11</v>
      </c>
      <c r="F321" s="35">
        <v>5317</v>
      </c>
      <c r="G321" s="35">
        <v>0.16500000000000001</v>
      </c>
      <c r="H321" s="35">
        <v>17</v>
      </c>
      <c r="I321" s="35">
        <v>84.3</v>
      </c>
      <c r="J321" s="35">
        <v>11.82</v>
      </c>
      <c r="K321" s="35">
        <v>0</v>
      </c>
      <c r="L321" s="35">
        <v>4.0999999999999996</v>
      </c>
      <c r="M321" s="35">
        <v>559660.84</v>
      </c>
      <c r="N321" s="35">
        <v>71443.61</v>
      </c>
    </row>
  </sheetData>
  <autoFilter ref="A1:N1" xr:uid="{712E0B6E-76A8-4CC6-B035-4058FD301BB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E0D38-F935-41A9-AB3B-762FC9CB0722}">
  <dimension ref="A1:N321"/>
  <sheetViews>
    <sheetView topLeftCell="F1" workbookViewId="0">
      <selection activeCell="E1" sqref="E1"/>
    </sheetView>
  </sheetViews>
  <sheetFormatPr defaultRowHeight="13.8"/>
  <cols>
    <col min="1" max="1" width="12" bestFit="1" customWidth="1"/>
    <col min="2" max="3" width="10.5" bestFit="1" customWidth="1"/>
    <col min="4" max="4" width="14.296875" bestFit="1" customWidth="1"/>
    <col min="5" max="5" width="20.19921875" bestFit="1" customWidth="1"/>
    <col min="6" max="6" width="10.8984375" bestFit="1" customWidth="1"/>
    <col min="7" max="7" width="20.3984375" bestFit="1" customWidth="1"/>
    <col min="8" max="8" width="14.59765625" bestFit="1" customWidth="1"/>
    <col min="9" max="9" width="27.69921875" bestFit="1" customWidth="1"/>
    <col min="10" max="10" width="26.796875" bestFit="1" customWidth="1"/>
    <col min="11" max="11" width="15.5" bestFit="1" customWidth="1"/>
    <col min="12" max="12" width="19.296875" bestFit="1" customWidth="1"/>
    <col min="13" max="14" width="17.796875" bestFit="1"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3" t="s">
        <v>14</v>
      </c>
      <c r="B2" s="4">
        <v>45658</v>
      </c>
      <c r="C2" s="3" t="s">
        <v>15</v>
      </c>
      <c r="D2" s="3" t="s">
        <v>16</v>
      </c>
      <c r="E2" s="3">
        <v>70389.11</v>
      </c>
      <c r="F2" s="3">
        <v>8302</v>
      </c>
      <c r="G2" s="3">
        <v>4.2000000000000003E-2</v>
      </c>
      <c r="H2" s="3">
        <v>17</v>
      </c>
      <c r="I2" s="3">
        <v>75</v>
      </c>
      <c r="J2" s="3">
        <v>5.28</v>
      </c>
      <c r="K2" s="3">
        <v>1</v>
      </c>
      <c r="L2" s="3">
        <v>3.1</v>
      </c>
      <c r="M2" s="3">
        <v>658832.62</v>
      </c>
      <c r="N2" s="3">
        <v>84349.93</v>
      </c>
    </row>
    <row r="3" spans="1:14">
      <c r="A3" s="3" t="s">
        <v>14</v>
      </c>
      <c r="B3" s="4">
        <v>45689</v>
      </c>
      <c r="C3" s="3" t="s">
        <v>15</v>
      </c>
      <c r="D3" s="3" t="s">
        <v>16</v>
      </c>
      <c r="E3" s="3">
        <v>43827.89</v>
      </c>
      <c r="F3" s="3">
        <v>8487</v>
      </c>
      <c r="G3" s="3">
        <v>0.16800000000000001</v>
      </c>
      <c r="H3" s="3">
        <v>23</v>
      </c>
      <c r="I3" s="3">
        <v>84.4</v>
      </c>
      <c r="J3" s="3">
        <v>4.3099999999999996</v>
      </c>
      <c r="K3" s="3">
        <v>0</v>
      </c>
      <c r="L3" s="3">
        <v>2.8</v>
      </c>
      <c r="M3" s="3">
        <v>634436</v>
      </c>
      <c r="N3" s="3">
        <v>106130.54</v>
      </c>
    </row>
    <row r="4" spans="1:14">
      <c r="A4" s="3" t="s">
        <v>14</v>
      </c>
      <c r="B4" s="4">
        <v>45717</v>
      </c>
      <c r="C4" s="3" t="s">
        <v>15</v>
      </c>
      <c r="D4" s="3" t="s">
        <v>16</v>
      </c>
      <c r="E4" s="3">
        <v>59921.75</v>
      </c>
      <c r="F4" s="3">
        <v>9113</v>
      </c>
      <c r="G4" s="3">
        <v>0.13300000000000001</v>
      </c>
      <c r="H4" s="3">
        <v>20</v>
      </c>
      <c r="I4" s="3">
        <v>88</v>
      </c>
      <c r="J4" s="3">
        <v>12</v>
      </c>
      <c r="K4" s="3">
        <v>0</v>
      </c>
      <c r="L4" s="3">
        <v>3.2</v>
      </c>
      <c r="M4" s="3">
        <v>678722.06</v>
      </c>
      <c r="N4" s="3">
        <v>101883.86</v>
      </c>
    </row>
    <row r="5" spans="1:14">
      <c r="A5" s="3" t="s">
        <v>14</v>
      </c>
      <c r="B5" s="4">
        <v>45748</v>
      </c>
      <c r="C5" s="3" t="s">
        <v>15</v>
      </c>
      <c r="D5" s="3" t="s">
        <v>16</v>
      </c>
      <c r="E5" s="3">
        <v>56856.63</v>
      </c>
      <c r="F5" s="3">
        <v>9431</v>
      </c>
      <c r="G5" s="3">
        <v>0.14199999999999999</v>
      </c>
      <c r="H5" s="3">
        <v>23</v>
      </c>
      <c r="I5" s="3">
        <v>86.9</v>
      </c>
      <c r="J5" s="3">
        <v>4.97</v>
      </c>
      <c r="K5" s="3">
        <v>0</v>
      </c>
      <c r="L5" s="3">
        <v>3.4</v>
      </c>
      <c r="M5" s="3">
        <v>658920.30000000005</v>
      </c>
      <c r="N5" s="3">
        <v>97910.37</v>
      </c>
    </row>
    <row r="6" spans="1:14">
      <c r="A6" s="3" t="s">
        <v>17</v>
      </c>
      <c r="B6" s="4">
        <v>45658</v>
      </c>
      <c r="C6" s="3" t="s">
        <v>15</v>
      </c>
      <c r="D6" s="3" t="s">
        <v>18</v>
      </c>
      <c r="E6" s="3">
        <v>48412.639999999999</v>
      </c>
      <c r="F6" s="3">
        <v>9545</v>
      </c>
      <c r="G6" s="3">
        <v>0.23100000000000001</v>
      </c>
      <c r="H6" s="3">
        <v>21</v>
      </c>
      <c r="I6" s="3">
        <v>97.6</v>
      </c>
      <c r="J6" s="3">
        <v>6.94</v>
      </c>
      <c r="K6" s="3">
        <v>1</v>
      </c>
      <c r="L6" s="3">
        <v>4.2</v>
      </c>
      <c r="M6" s="3">
        <v>741341.44</v>
      </c>
      <c r="N6" s="3">
        <v>119208.17</v>
      </c>
    </row>
    <row r="7" spans="1:14">
      <c r="A7" s="3" t="s">
        <v>17</v>
      </c>
      <c r="B7" s="4">
        <v>45689</v>
      </c>
      <c r="C7" s="3" t="s">
        <v>15</v>
      </c>
      <c r="D7" s="3" t="s">
        <v>18</v>
      </c>
      <c r="E7" s="3">
        <v>64811.21</v>
      </c>
      <c r="F7" s="3">
        <v>9792</v>
      </c>
      <c r="G7" s="3">
        <v>0.112</v>
      </c>
      <c r="H7" s="3">
        <v>20</v>
      </c>
      <c r="I7" s="3">
        <v>84.2</v>
      </c>
      <c r="J7" s="3">
        <v>2.88</v>
      </c>
      <c r="K7" s="3">
        <v>0</v>
      </c>
      <c r="L7" s="3">
        <v>4.2</v>
      </c>
      <c r="M7" s="3">
        <v>761835.34</v>
      </c>
      <c r="N7" s="3">
        <v>149602.23000000001</v>
      </c>
    </row>
    <row r="8" spans="1:14">
      <c r="A8" s="3" t="s">
        <v>17</v>
      </c>
      <c r="B8" s="4">
        <v>45717</v>
      </c>
      <c r="C8" s="3" t="s">
        <v>15</v>
      </c>
      <c r="D8" s="3" t="s">
        <v>18</v>
      </c>
      <c r="E8" s="3">
        <v>46213.45</v>
      </c>
      <c r="F8" s="3">
        <v>10616</v>
      </c>
      <c r="G8" s="3">
        <v>0.122</v>
      </c>
      <c r="H8" s="3">
        <v>22</v>
      </c>
      <c r="I8" s="3">
        <v>85.2</v>
      </c>
      <c r="J8" s="3">
        <v>0.2</v>
      </c>
      <c r="K8" s="3">
        <v>1</v>
      </c>
      <c r="L8" s="3">
        <v>4.0999999999999996</v>
      </c>
      <c r="M8" s="3">
        <v>806615.54</v>
      </c>
      <c r="N8" s="3">
        <v>131364.62</v>
      </c>
    </row>
    <row r="9" spans="1:14">
      <c r="A9" s="3" t="s">
        <v>17</v>
      </c>
      <c r="B9" s="4">
        <v>45748</v>
      </c>
      <c r="C9" s="3" t="s">
        <v>15</v>
      </c>
      <c r="D9" s="3" t="s">
        <v>18</v>
      </c>
      <c r="E9" s="3">
        <v>68148.52</v>
      </c>
      <c r="F9" s="3">
        <v>8567</v>
      </c>
      <c r="G9" s="3">
        <v>0.127</v>
      </c>
      <c r="H9" s="3">
        <v>23</v>
      </c>
      <c r="I9" s="3">
        <v>95.6</v>
      </c>
      <c r="J9" s="3">
        <v>0.8</v>
      </c>
      <c r="K9" s="3">
        <v>0</v>
      </c>
      <c r="L9" s="3">
        <v>3.9</v>
      </c>
      <c r="M9" s="3">
        <v>850164.26</v>
      </c>
      <c r="N9" s="3">
        <v>149262.75</v>
      </c>
    </row>
    <row r="10" spans="1:14">
      <c r="A10" s="3" t="s">
        <v>19</v>
      </c>
      <c r="B10" s="4">
        <v>45658</v>
      </c>
      <c r="C10" s="3" t="s">
        <v>20</v>
      </c>
      <c r="D10" s="3" t="s">
        <v>21</v>
      </c>
      <c r="E10" s="3">
        <v>71838.86</v>
      </c>
      <c r="F10" s="3">
        <v>10979</v>
      </c>
      <c r="G10" s="3">
        <v>0.215</v>
      </c>
      <c r="H10" s="3">
        <v>26</v>
      </c>
      <c r="I10" s="3">
        <v>88.6</v>
      </c>
      <c r="J10" s="3">
        <v>7.7</v>
      </c>
      <c r="K10" s="3">
        <v>1</v>
      </c>
      <c r="L10" s="3">
        <v>3.8</v>
      </c>
      <c r="M10" s="3">
        <v>930581.7</v>
      </c>
      <c r="N10" s="3">
        <v>136207.98000000001</v>
      </c>
    </row>
    <row r="11" spans="1:14">
      <c r="A11" s="3" t="s">
        <v>19</v>
      </c>
      <c r="B11" s="4">
        <v>45689</v>
      </c>
      <c r="C11" s="3" t="s">
        <v>20</v>
      </c>
      <c r="D11" s="3" t="s">
        <v>21</v>
      </c>
      <c r="E11" s="3">
        <v>68133.440000000002</v>
      </c>
      <c r="F11" s="3">
        <v>9459</v>
      </c>
      <c r="G11" s="3">
        <v>0.22</v>
      </c>
      <c r="H11" s="3">
        <v>21</v>
      </c>
      <c r="I11" s="3">
        <v>85</v>
      </c>
      <c r="J11" s="3">
        <v>1.91</v>
      </c>
      <c r="K11" s="3">
        <v>0</v>
      </c>
      <c r="L11" s="3">
        <v>4.2</v>
      </c>
      <c r="M11" s="3">
        <v>779010.94</v>
      </c>
      <c r="N11" s="3">
        <v>106328.09</v>
      </c>
    </row>
    <row r="12" spans="1:14">
      <c r="A12" s="3" t="s">
        <v>19</v>
      </c>
      <c r="B12" s="4">
        <v>45717</v>
      </c>
      <c r="C12" s="3" t="s">
        <v>20</v>
      </c>
      <c r="D12" s="3" t="s">
        <v>21</v>
      </c>
      <c r="E12" s="3">
        <v>34285.21</v>
      </c>
      <c r="F12" s="3">
        <v>9172</v>
      </c>
      <c r="G12" s="3">
        <v>0.21299999999999999</v>
      </c>
      <c r="H12" s="3">
        <v>22</v>
      </c>
      <c r="I12" s="3">
        <v>88.3</v>
      </c>
      <c r="J12" s="3">
        <v>10.46</v>
      </c>
      <c r="K12" s="3">
        <v>1</v>
      </c>
      <c r="L12" s="3">
        <v>3.8</v>
      </c>
      <c r="M12" s="3">
        <v>723060.76</v>
      </c>
      <c r="N12" s="3">
        <v>123131.24</v>
      </c>
    </row>
    <row r="13" spans="1:14">
      <c r="A13" s="3" t="s">
        <v>19</v>
      </c>
      <c r="B13" s="4">
        <v>45748</v>
      </c>
      <c r="C13" s="3" t="s">
        <v>20</v>
      </c>
      <c r="D13" s="3" t="s">
        <v>21</v>
      </c>
      <c r="E13" s="3">
        <v>67979.88</v>
      </c>
      <c r="F13" s="3">
        <v>11230</v>
      </c>
      <c r="G13" s="3">
        <v>2E-3</v>
      </c>
      <c r="H13" s="3">
        <v>28</v>
      </c>
      <c r="I13" s="3">
        <v>85.3</v>
      </c>
      <c r="J13" s="3">
        <v>7.16</v>
      </c>
      <c r="K13" s="3">
        <v>0</v>
      </c>
      <c r="L13" s="3">
        <v>3.8</v>
      </c>
      <c r="M13" s="3">
        <v>910791.94</v>
      </c>
      <c r="N13" s="3">
        <v>158891.28</v>
      </c>
    </row>
    <row r="14" spans="1:14">
      <c r="A14" s="3" t="s">
        <v>22</v>
      </c>
      <c r="B14" s="4">
        <v>45658</v>
      </c>
      <c r="C14" s="3" t="s">
        <v>15</v>
      </c>
      <c r="D14" s="3" t="s">
        <v>16</v>
      </c>
      <c r="E14" s="3">
        <v>71828.259999999995</v>
      </c>
      <c r="F14" s="3">
        <v>12775</v>
      </c>
      <c r="G14" s="3">
        <v>0.11600000000000001</v>
      </c>
      <c r="H14" s="3">
        <v>30</v>
      </c>
      <c r="I14" s="3">
        <v>81.7</v>
      </c>
      <c r="J14" s="3">
        <v>4.24</v>
      </c>
      <c r="K14" s="3">
        <v>1</v>
      </c>
      <c r="L14" s="3">
        <v>4.2</v>
      </c>
      <c r="M14" s="3">
        <v>922168.6</v>
      </c>
      <c r="N14" s="3">
        <v>107494.53</v>
      </c>
    </row>
    <row r="15" spans="1:14">
      <c r="A15" s="3" t="s">
        <v>22</v>
      </c>
      <c r="B15" s="4">
        <v>45689</v>
      </c>
      <c r="C15" s="3" t="s">
        <v>15</v>
      </c>
      <c r="D15" s="3" t="s">
        <v>16</v>
      </c>
      <c r="E15" s="3">
        <v>55716.82</v>
      </c>
      <c r="F15" s="3">
        <v>10054</v>
      </c>
      <c r="G15" s="3">
        <v>0.14599999999999999</v>
      </c>
      <c r="H15" s="3">
        <v>24</v>
      </c>
      <c r="I15" s="3">
        <v>84.9</v>
      </c>
      <c r="J15" s="3">
        <v>1.06</v>
      </c>
      <c r="K15" s="3">
        <v>0</v>
      </c>
      <c r="L15" s="3">
        <v>4.3</v>
      </c>
      <c r="M15" s="3">
        <v>726606.28</v>
      </c>
      <c r="N15" s="3">
        <v>122729.29</v>
      </c>
    </row>
    <row r="16" spans="1:14">
      <c r="A16" s="3" t="s">
        <v>22</v>
      </c>
      <c r="B16" s="4">
        <v>45717</v>
      </c>
      <c r="C16" s="3" t="s">
        <v>15</v>
      </c>
      <c r="D16" s="3" t="s">
        <v>16</v>
      </c>
      <c r="E16" s="3">
        <v>59909.51</v>
      </c>
      <c r="F16" s="3">
        <v>8895</v>
      </c>
      <c r="G16" s="3">
        <v>0.22800000000000001</v>
      </c>
      <c r="H16" s="3">
        <v>23</v>
      </c>
      <c r="I16" s="3">
        <v>88.8</v>
      </c>
      <c r="J16" s="3">
        <v>0.27</v>
      </c>
      <c r="K16" s="3">
        <v>0</v>
      </c>
      <c r="L16" s="3">
        <v>4.3</v>
      </c>
      <c r="M16" s="3">
        <v>746501.09</v>
      </c>
      <c r="N16" s="3">
        <v>136816.72</v>
      </c>
    </row>
    <row r="17" spans="1:14">
      <c r="A17" s="3" t="s">
        <v>22</v>
      </c>
      <c r="B17" s="4">
        <v>45748</v>
      </c>
      <c r="C17" s="3" t="s">
        <v>15</v>
      </c>
      <c r="D17" s="3" t="s">
        <v>16</v>
      </c>
      <c r="E17" s="3">
        <v>75305.710000000006</v>
      </c>
      <c r="F17" s="3">
        <v>10940</v>
      </c>
      <c r="G17" s="3">
        <v>6.0000000000000001E-3</v>
      </c>
      <c r="H17" s="3">
        <v>26</v>
      </c>
      <c r="I17" s="3">
        <v>76.5</v>
      </c>
      <c r="J17" s="3">
        <v>1.32</v>
      </c>
      <c r="K17" s="3">
        <v>0</v>
      </c>
      <c r="L17" s="3">
        <v>4.5</v>
      </c>
      <c r="M17" s="3">
        <v>834017.02</v>
      </c>
      <c r="N17" s="3">
        <v>114745.03</v>
      </c>
    </row>
    <row r="18" spans="1:14">
      <c r="A18" s="3" t="s">
        <v>23</v>
      </c>
      <c r="B18" s="4">
        <v>45658</v>
      </c>
      <c r="C18" s="3" t="s">
        <v>24</v>
      </c>
      <c r="D18" s="3" t="s">
        <v>16</v>
      </c>
      <c r="E18" s="3">
        <v>48804.22</v>
      </c>
      <c r="F18" s="3">
        <v>7057</v>
      </c>
      <c r="G18" s="3">
        <v>5.0000000000000001E-3</v>
      </c>
      <c r="H18" s="3">
        <v>15</v>
      </c>
      <c r="I18" s="3">
        <v>87.7</v>
      </c>
      <c r="J18" s="3">
        <v>1.22</v>
      </c>
      <c r="K18" s="3">
        <v>0</v>
      </c>
      <c r="L18" s="3">
        <v>3.7</v>
      </c>
      <c r="M18" s="3">
        <v>666152.52</v>
      </c>
      <c r="N18" s="3">
        <v>107490.58</v>
      </c>
    </row>
    <row r="19" spans="1:14">
      <c r="A19" s="3" t="s">
        <v>23</v>
      </c>
      <c r="B19" s="4">
        <v>45689</v>
      </c>
      <c r="C19" s="3" t="s">
        <v>24</v>
      </c>
      <c r="D19" s="3" t="s">
        <v>16</v>
      </c>
      <c r="E19" s="3">
        <v>59117.9</v>
      </c>
      <c r="F19" s="3">
        <v>4263</v>
      </c>
      <c r="G19" s="3">
        <v>0.11899999999999999</v>
      </c>
      <c r="H19" s="3">
        <v>9</v>
      </c>
      <c r="I19" s="3">
        <v>87.6</v>
      </c>
      <c r="J19" s="3">
        <v>4.01</v>
      </c>
      <c r="K19" s="3">
        <v>0</v>
      </c>
      <c r="L19" s="3">
        <v>3.6</v>
      </c>
      <c r="M19" s="3">
        <v>573155.18999999994</v>
      </c>
      <c r="N19" s="3">
        <v>83680.75</v>
      </c>
    </row>
    <row r="20" spans="1:14">
      <c r="A20" s="3" t="s">
        <v>23</v>
      </c>
      <c r="B20" s="4">
        <v>45717</v>
      </c>
      <c r="C20" s="3" t="s">
        <v>24</v>
      </c>
      <c r="D20" s="3" t="s">
        <v>16</v>
      </c>
      <c r="E20" s="3">
        <v>78831.12</v>
      </c>
      <c r="F20" s="3">
        <v>5538</v>
      </c>
      <c r="G20" s="3">
        <v>0</v>
      </c>
      <c r="H20" s="3">
        <v>15</v>
      </c>
      <c r="I20" s="3">
        <v>94.1</v>
      </c>
      <c r="J20" s="3">
        <v>0.2</v>
      </c>
      <c r="K20" s="3">
        <v>0</v>
      </c>
      <c r="L20" s="3">
        <v>3.9</v>
      </c>
      <c r="M20" s="3">
        <v>666573.19999999995</v>
      </c>
      <c r="N20" s="3">
        <v>140641.01999999999</v>
      </c>
    </row>
    <row r="21" spans="1:14">
      <c r="A21" s="3" t="s">
        <v>23</v>
      </c>
      <c r="B21" s="4">
        <v>45748</v>
      </c>
      <c r="C21" s="3" t="s">
        <v>24</v>
      </c>
      <c r="D21" s="3" t="s">
        <v>16</v>
      </c>
      <c r="E21" s="3">
        <v>41441.93</v>
      </c>
      <c r="F21" s="3">
        <v>4865</v>
      </c>
      <c r="G21" s="3">
        <v>0.158</v>
      </c>
      <c r="H21" s="3">
        <v>16</v>
      </c>
      <c r="I21" s="3">
        <v>88.3</v>
      </c>
      <c r="J21" s="3">
        <v>0.5</v>
      </c>
      <c r="K21" s="3">
        <v>0</v>
      </c>
      <c r="L21" s="3">
        <v>4</v>
      </c>
      <c r="M21" s="3">
        <v>591619.94999999995</v>
      </c>
      <c r="N21" s="3">
        <v>99521.35</v>
      </c>
    </row>
    <row r="22" spans="1:14">
      <c r="A22" s="3" t="s">
        <v>25</v>
      </c>
      <c r="B22" s="4">
        <v>45658</v>
      </c>
      <c r="C22" s="3" t="s">
        <v>20</v>
      </c>
      <c r="D22" s="3" t="s">
        <v>16</v>
      </c>
      <c r="E22" s="3">
        <v>30356.28</v>
      </c>
      <c r="F22" s="3">
        <v>2822</v>
      </c>
      <c r="G22" s="3">
        <v>0.23100000000000001</v>
      </c>
      <c r="H22" s="3">
        <v>9</v>
      </c>
      <c r="I22" s="3">
        <v>84.8</v>
      </c>
      <c r="J22" s="3">
        <v>6.95</v>
      </c>
      <c r="K22" s="3">
        <v>0</v>
      </c>
      <c r="L22" s="3">
        <v>5</v>
      </c>
      <c r="M22" s="3">
        <v>415721.82</v>
      </c>
      <c r="N22" s="3">
        <v>61179.15</v>
      </c>
    </row>
    <row r="23" spans="1:14">
      <c r="A23" s="3" t="s">
        <v>25</v>
      </c>
      <c r="B23" s="4">
        <v>45689</v>
      </c>
      <c r="C23" s="3" t="s">
        <v>20</v>
      </c>
      <c r="D23" s="3" t="s">
        <v>16</v>
      </c>
      <c r="E23" s="3">
        <v>33518.879999999997</v>
      </c>
      <c r="F23" s="3">
        <v>2121</v>
      </c>
      <c r="G23" s="3">
        <v>0.17599999999999999</v>
      </c>
      <c r="H23" s="3">
        <v>8</v>
      </c>
      <c r="I23" s="3">
        <v>88.5</v>
      </c>
      <c r="J23" s="3">
        <v>0.2</v>
      </c>
      <c r="K23" s="3">
        <v>0</v>
      </c>
      <c r="L23" s="3">
        <v>5</v>
      </c>
      <c r="M23" s="3">
        <v>491905.13</v>
      </c>
      <c r="N23" s="3">
        <v>79212.259999999995</v>
      </c>
    </row>
    <row r="24" spans="1:14">
      <c r="A24" s="3" t="s">
        <v>25</v>
      </c>
      <c r="B24" s="4">
        <v>45717</v>
      </c>
      <c r="C24" s="3" t="s">
        <v>20</v>
      </c>
      <c r="D24" s="3" t="s">
        <v>16</v>
      </c>
      <c r="E24" s="3">
        <v>42267.37</v>
      </c>
      <c r="F24" s="3">
        <v>3364</v>
      </c>
      <c r="G24" s="3">
        <v>0.16</v>
      </c>
      <c r="H24" s="3">
        <v>13</v>
      </c>
      <c r="I24" s="3">
        <v>82</v>
      </c>
      <c r="J24" s="3">
        <v>1.61</v>
      </c>
      <c r="K24" s="3">
        <v>1</v>
      </c>
      <c r="L24" s="3">
        <v>4.5999999999999996</v>
      </c>
      <c r="M24" s="3">
        <v>555929.4</v>
      </c>
      <c r="N24" s="3">
        <v>115201.76</v>
      </c>
    </row>
    <row r="25" spans="1:14">
      <c r="A25" s="3" t="s">
        <v>25</v>
      </c>
      <c r="B25" s="4">
        <v>45748</v>
      </c>
      <c r="C25" s="3" t="s">
        <v>20</v>
      </c>
      <c r="D25" s="3" t="s">
        <v>16</v>
      </c>
      <c r="E25" s="3">
        <v>62060.43</v>
      </c>
      <c r="F25" s="3">
        <v>2613</v>
      </c>
      <c r="G25" s="3">
        <v>0.216</v>
      </c>
      <c r="H25" s="3">
        <v>12</v>
      </c>
      <c r="I25" s="3">
        <v>92.1</v>
      </c>
      <c r="J25" s="3">
        <v>1.55</v>
      </c>
      <c r="K25" s="3">
        <v>0</v>
      </c>
      <c r="L25" s="3">
        <v>4.7</v>
      </c>
      <c r="M25" s="3">
        <v>565810.99</v>
      </c>
      <c r="N25" s="3">
        <v>77825.460000000006</v>
      </c>
    </row>
    <row r="26" spans="1:14">
      <c r="A26" s="3" t="s">
        <v>26</v>
      </c>
      <c r="B26" s="4">
        <v>45658</v>
      </c>
      <c r="C26" s="3" t="s">
        <v>27</v>
      </c>
      <c r="D26" s="3" t="s">
        <v>28</v>
      </c>
      <c r="E26" s="3">
        <v>57696.69</v>
      </c>
      <c r="F26" s="3">
        <v>10218</v>
      </c>
      <c r="G26" s="3">
        <v>0.121</v>
      </c>
      <c r="H26" s="3">
        <v>25</v>
      </c>
      <c r="I26" s="3">
        <v>94.8</v>
      </c>
      <c r="J26" s="3">
        <v>2.99</v>
      </c>
      <c r="K26" s="3">
        <v>0</v>
      </c>
      <c r="L26" s="3">
        <v>3.5</v>
      </c>
      <c r="M26" s="3">
        <v>811771.14</v>
      </c>
      <c r="N26" s="3">
        <v>148756.24</v>
      </c>
    </row>
    <row r="27" spans="1:14">
      <c r="A27" s="3" t="s">
        <v>26</v>
      </c>
      <c r="B27" s="4">
        <v>45689</v>
      </c>
      <c r="C27" s="3" t="s">
        <v>27</v>
      </c>
      <c r="D27" s="3" t="s">
        <v>28</v>
      </c>
      <c r="E27" s="3">
        <v>172415.52</v>
      </c>
      <c r="F27" s="3">
        <v>8927</v>
      </c>
      <c r="G27" s="3">
        <v>0.14000000000000001</v>
      </c>
      <c r="H27" s="3">
        <v>22</v>
      </c>
      <c r="I27" s="3">
        <v>86.2</v>
      </c>
      <c r="J27" s="3">
        <v>7.04</v>
      </c>
      <c r="K27" s="3">
        <v>0</v>
      </c>
      <c r="L27" s="3">
        <v>3.9</v>
      </c>
      <c r="M27" s="3">
        <v>800451.94</v>
      </c>
      <c r="N27" s="3">
        <v>111572.29</v>
      </c>
    </row>
    <row r="28" spans="1:14">
      <c r="A28" s="3" t="s">
        <v>26</v>
      </c>
      <c r="B28" s="4">
        <v>45717</v>
      </c>
      <c r="C28" s="3" t="s">
        <v>27</v>
      </c>
      <c r="D28" s="3" t="s">
        <v>28</v>
      </c>
      <c r="E28" s="3">
        <v>55270.52</v>
      </c>
      <c r="F28" s="3">
        <v>9315</v>
      </c>
      <c r="G28" s="3">
        <v>0.16900000000000001</v>
      </c>
      <c r="H28" s="3">
        <v>23</v>
      </c>
      <c r="I28" s="3">
        <v>91.9</v>
      </c>
      <c r="J28" s="3">
        <v>4.9400000000000004</v>
      </c>
      <c r="K28" s="3">
        <v>0</v>
      </c>
      <c r="L28" s="3">
        <v>4</v>
      </c>
      <c r="M28" s="3">
        <v>783672.82</v>
      </c>
      <c r="N28" s="3">
        <v>112577.14</v>
      </c>
    </row>
    <row r="29" spans="1:14">
      <c r="A29" s="3" t="s">
        <v>26</v>
      </c>
      <c r="B29" s="4">
        <v>45748</v>
      </c>
      <c r="C29" s="3" t="s">
        <v>27</v>
      </c>
      <c r="D29" s="3" t="s">
        <v>28</v>
      </c>
      <c r="E29" s="3">
        <v>52715.1</v>
      </c>
      <c r="F29" s="3">
        <v>7223</v>
      </c>
      <c r="G29" s="3">
        <v>0.122</v>
      </c>
      <c r="H29" s="3">
        <v>16</v>
      </c>
      <c r="I29" s="3">
        <v>84.2</v>
      </c>
      <c r="J29" s="3">
        <v>16.149999999999999</v>
      </c>
      <c r="K29" s="3">
        <v>0</v>
      </c>
      <c r="L29" s="3">
        <v>3.7</v>
      </c>
      <c r="M29" s="3">
        <v>701641.97</v>
      </c>
      <c r="N29" s="3">
        <v>106111.86</v>
      </c>
    </row>
    <row r="30" spans="1:14">
      <c r="A30" s="3" t="s">
        <v>29</v>
      </c>
      <c r="B30" s="4">
        <v>45658</v>
      </c>
      <c r="C30" s="3" t="s">
        <v>15</v>
      </c>
      <c r="D30" s="3" t="s">
        <v>16</v>
      </c>
      <c r="E30" s="3">
        <v>68600.62</v>
      </c>
      <c r="F30" s="3">
        <v>3988</v>
      </c>
      <c r="G30" s="3">
        <v>0.124</v>
      </c>
      <c r="H30" s="3">
        <v>11</v>
      </c>
      <c r="I30" s="3">
        <v>85</v>
      </c>
      <c r="J30" s="3">
        <v>0.48</v>
      </c>
      <c r="K30" s="3">
        <v>0</v>
      </c>
      <c r="L30" s="3">
        <v>3.6</v>
      </c>
      <c r="M30" s="3">
        <v>511844.41</v>
      </c>
      <c r="N30" s="3">
        <v>72774.44</v>
      </c>
    </row>
    <row r="31" spans="1:14">
      <c r="A31" s="3" t="s">
        <v>29</v>
      </c>
      <c r="B31" s="4">
        <v>45689</v>
      </c>
      <c r="C31" s="3" t="s">
        <v>15</v>
      </c>
      <c r="D31" s="3" t="s">
        <v>16</v>
      </c>
      <c r="E31" s="3">
        <v>63176.73</v>
      </c>
      <c r="F31" s="3">
        <v>2390</v>
      </c>
      <c r="G31" s="3">
        <v>0.216</v>
      </c>
      <c r="H31" s="3">
        <v>9</v>
      </c>
      <c r="I31" s="3">
        <v>87.5</v>
      </c>
      <c r="J31" s="3">
        <v>0.31</v>
      </c>
      <c r="K31" s="3">
        <v>0</v>
      </c>
      <c r="L31" s="3">
        <v>3.1</v>
      </c>
      <c r="M31" s="3">
        <v>537383.79</v>
      </c>
      <c r="N31" s="3">
        <v>63773.27</v>
      </c>
    </row>
    <row r="32" spans="1:14">
      <c r="A32" s="3" t="s">
        <v>29</v>
      </c>
      <c r="B32" s="4">
        <v>45717</v>
      </c>
      <c r="C32" s="3" t="s">
        <v>15</v>
      </c>
      <c r="D32" s="3" t="s">
        <v>16</v>
      </c>
      <c r="E32" s="3">
        <v>44970.080000000002</v>
      </c>
      <c r="F32" s="3">
        <v>2471</v>
      </c>
      <c r="G32" s="3">
        <v>0.13600000000000001</v>
      </c>
      <c r="H32" s="3">
        <v>11</v>
      </c>
      <c r="I32" s="3">
        <v>87.6</v>
      </c>
      <c r="J32" s="3">
        <v>3.01</v>
      </c>
      <c r="K32" s="3">
        <v>1</v>
      </c>
      <c r="L32" s="3">
        <v>3.7</v>
      </c>
      <c r="M32" s="3">
        <v>500173.02</v>
      </c>
      <c r="N32" s="3">
        <v>70982.05</v>
      </c>
    </row>
    <row r="33" spans="1:14">
      <c r="A33" s="3" t="s">
        <v>29</v>
      </c>
      <c r="B33" s="4">
        <v>45748</v>
      </c>
      <c r="C33" s="3" t="s">
        <v>15</v>
      </c>
      <c r="D33" s="3" t="s">
        <v>16</v>
      </c>
      <c r="E33" s="3">
        <v>69816.350000000006</v>
      </c>
      <c r="F33" s="3">
        <v>971</v>
      </c>
      <c r="G33" s="3">
        <v>0.16800000000000001</v>
      </c>
      <c r="H33" s="3">
        <v>5</v>
      </c>
      <c r="I33" s="3">
        <v>89.9</v>
      </c>
      <c r="J33" s="3">
        <v>12.15</v>
      </c>
      <c r="K33" s="3">
        <v>0</v>
      </c>
      <c r="L33" s="3">
        <v>3.6</v>
      </c>
      <c r="M33" s="3">
        <v>427917.38</v>
      </c>
      <c r="N33" s="3">
        <v>81824.31</v>
      </c>
    </row>
    <row r="34" spans="1:14">
      <c r="A34" s="3" t="s">
        <v>30</v>
      </c>
      <c r="B34" s="4">
        <v>45658</v>
      </c>
      <c r="C34" s="3" t="s">
        <v>20</v>
      </c>
      <c r="D34" s="3" t="s">
        <v>16</v>
      </c>
      <c r="E34" s="3">
        <v>54597.83</v>
      </c>
      <c r="F34" s="3">
        <v>9429</v>
      </c>
      <c r="G34" s="3">
        <v>0.188</v>
      </c>
      <c r="H34" s="3">
        <v>21</v>
      </c>
      <c r="I34" s="3">
        <v>83.3</v>
      </c>
      <c r="J34" s="3">
        <v>11.71</v>
      </c>
      <c r="K34" s="3">
        <v>0</v>
      </c>
      <c r="L34" s="3">
        <v>4.2</v>
      </c>
      <c r="M34" s="3">
        <v>641865.03</v>
      </c>
      <c r="N34" s="3">
        <v>81342.58</v>
      </c>
    </row>
    <row r="35" spans="1:14">
      <c r="A35" s="3" t="s">
        <v>30</v>
      </c>
      <c r="B35" s="4">
        <v>45689</v>
      </c>
      <c r="C35" s="3" t="s">
        <v>20</v>
      </c>
      <c r="D35" s="3" t="s">
        <v>16</v>
      </c>
      <c r="E35" s="3">
        <v>73771.91</v>
      </c>
      <c r="F35" s="3">
        <v>11695</v>
      </c>
      <c r="G35" s="3">
        <v>7.0000000000000007E-2</v>
      </c>
      <c r="H35" s="3">
        <v>25</v>
      </c>
      <c r="I35" s="3">
        <v>84.7</v>
      </c>
      <c r="J35" s="3">
        <v>0.62</v>
      </c>
      <c r="K35" s="3">
        <v>0</v>
      </c>
      <c r="L35" s="5">
        <v>3.9</v>
      </c>
      <c r="M35" s="3">
        <v>799477.76000000001</v>
      </c>
      <c r="N35" s="3">
        <v>164974.41</v>
      </c>
    </row>
    <row r="36" spans="1:14">
      <c r="A36" s="3" t="s">
        <v>30</v>
      </c>
      <c r="B36" s="4">
        <v>45717</v>
      </c>
      <c r="C36" s="3" t="s">
        <v>20</v>
      </c>
      <c r="D36" s="3" t="s">
        <v>16</v>
      </c>
      <c r="E36" s="3">
        <v>74413.88</v>
      </c>
      <c r="F36" s="3">
        <v>9449</v>
      </c>
      <c r="G36" s="3">
        <v>3.9E-2</v>
      </c>
      <c r="H36" s="3">
        <v>23</v>
      </c>
      <c r="I36" s="3">
        <v>92.1</v>
      </c>
      <c r="J36" s="3">
        <v>2.12</v>
      </c>
      <c r="K36" s="3">
        <v>0</v>
      </c>
      <c r="L36" s="3">
        <v>3.5</v>
      </c>
      <c r="M36" s="3">
        <v>798952.17</v>
      </c>
      <c r="N36" s="3">
        <v>161499.04</v>
      </c>
    </row>
    <row r="37" spans="1:14">
      <c r="A37" s="3" t="s">
        <v>30</v>
      </c>
      <c r="B37" s="4">
        <v>45748</v>
      </c>
      <c r="C37" s="3" t="s">
        <v>20</v>
      </c>
      <c r="D37" s="3" t="s">
        <v>16</v>
      </c>
      <c r="E37" s="3">
        <v>52483.77</v>
      </c>
      <c r="F37" s="3">
        <v>10453</v>
      </c>
      <c r="G37" s="3">
        <v>0.247</v>
      </c>
      <c r="H37" s="3">
        <v>25</v>
      </c>
      <c r="I37" s="3">
        <v>99</v>
      </c>
      <c r="J37" s="3">
        <v>6.31</v>
      </c>
      <c r="K37" s="3">
        <v>0</v>
      </c>
      <c r="L37" s="3">
        <v>3.6</v>
      </c>
      <c r="M37" s="3">
        <v>800979.78</v>
      </c>
      <c r="N37" s="3">
        <v>149242.26999999999</v>
      </c>
    </row>
    <row r="38" spans="1:14">
      <c r="A38" s="3" t="s">
        <v>31</v>
      </c>
      <c r="B38" s="4">
        <v>45658</v>
      </c>
      <c r="C38" s="3" t="s">
        <v>20</v>
      </c>
      <c r="D38" s="3" t="s">
        <v>28</v>
      </c>
      <c r="E38" s="3">
        <v>75269.87</v>
      </c>
      <c r="F38" s="3">
        <v>8838</v>
      </c>
      <c r="G38" s="3">
        <v>9.1999999999999998E-2</v>
      </c>
      <c r="H38" s="3">
        <v>21</v>
      </c>
      <c r="I38" s="3">
        <v>83.1</v>
      </c>
      <c r="J38" s="3">
        <v>9.56</v>
      </c>
      <c r="K38" s="3">
        <v>1</v>
      </c>
      <c r="L38" s="3">
        <v>4.2</v>
      </c>
      <c r="M38" s="3">
        <v>820593.93</v>
      </c>
      <c r="N38" s="3">
        <v>115860.06</v>
      </c>
    </row>
    <row r="39" spans="1:14">
      <c r="A39" s="3" t="s">
        <v>31</v>
      </c>
      <c r="B39" s="4">
        <v>45689</v>
      </c>
      <c r="C39" s="3" t="s">
        <v>20</v>
      </c>
      <c r="D39" s="3" t="s">
        <v>28</v>
      </c>
      <c r="E39" s="3">
        <v>61245.41</v>
      </c>
      <c r="F39" s="3">
        <v>8156</v>
      </c>
      <c r="G39" s="3">
        <v>0.156</v>
      </c>
      <c r="H39" s="3">
        <v>19</v>
      </c>
      <c r="I39" s="3">
        <v>92.9</v>
      </c>
      <c r="J39" s="3">
        <v>9.0500000000000007</v>
      </c>
      <c r="K39" s="3">
        <v>0</v>
      </c>
      <c r="L39" s="3">
        <v>3.8</v>
      </c>
      <c r="M39" s="3">
        <v>718330.53</v>
      </c>
      <c r="N39" s="3">
        <v>93247.9</v>
      </c>
    </row>
    <row r="40" spans="1:14">
      <c r="A40" s="3" t="s">
        <v>31</v>
      </c>
      <c r="B40" s="4">
        <v>45717</v>
      </c>
      <c r="C40" s="3" t="s">
        <v>20</v>
      </c>
      <c r="D40" s="3" t="s">
        <v>28</v>
      </c>
      <c r="E40" s="3">
        <v>93381.26</v>
      </c>
      <c r="F40" s="3">
        <v>7562</v>
      </c>
      <c r="G40" s="3">
        <v>0.19800000000000001</v>
      </c>
      <c r="H40" s="3">
        <v>19</v>
      </c>
      <c r="I40" s="3">
        <v>82.9</v>
      </c>
      <c r="J40" s="3">
        <v>5.05</v>
      </c>
      <c r="K40" s="3">
        <v>0</v>
      </c>
      <c r="L40" s="3">
        <v>4</v>
      </c>
      <c r="M40" s="3">
        <v>736633.4</v>
      </c>
      <c r="N40" s="3">
        <v>115654.66</v>
      </c>
    </row>
    <row r="41" spans="1:14">
      <c r="A41" s="3" t="s">
        <v>31</v>
      </c>
      <c r="B41" s="4">
        <v>45748</v>
      </c>
      <c r="C41" s="3" t="s">
        <v>20</v>
      </c>
      <c r="D41" s="3" t="s">
        <v>28</v>
      </c>
      <c r="E41" s="3">
        <v>65012.19</v>
      </c>
      <c r="F41" s="3">
        <v>9598</v>
      </c>
      <c r="G41" s="3">
        <v>8.5000000000000006E-2</v>
      </c>
      <c r="H41" s="3">
        <v>24</v>
      </c>
      <c r="I41" s="3">
        <v>98.3</v>
      </c>
      <c r="J41" s="3">
        <v>0.89</v>
      </c>
      <c r="K41" s="3">
        <v>0</v>
      </c>
      <c r="L41" s="3">
        <v>3.8</v>
      </c>
      <c r="M41" s="3">
        <v>828623.85</v>
      </c>
      <c r="N41" s="3">
        <v>167320.51999999999</v>
      </c>
    </row>
    <row r="42" spans="1:14">
      <c r="A42" s="3" t="s">
        <v>32</v>
      </c>
      <c r="B42" s="4">
        <v>45658</v>
      </c>
      <c r="C42" s="3" t="s">
        <v>15</v>
      </c>
      <c r="D42" s="3" t="s">
        <v>28</v>
      </c>
      <c r="E42" s="3">
        <v>40462.94</v>
      </c>
      <c r="F42" s="3">
        <v>3660</v>
      </c>
      <c r="G42" s="3">
        <v>0.218</v>
      </c>
      <c r="H42" s="3">
        <v>11</v>
      </c>
      <c r="I42" s="3">
        <v>95.2</v>
      </c>
      <c r="J42" s="3">
        <v>5.57</v>
      </c>
      <c r="K42" s="3">
        <v>0</v>
      </c>
      <c r="L42" s="3">
        <v>4.4000000000000004</v>
      </c>
      <c r="M42" s="3">
        <v>592195.85</v>
      </c>
      <c r="N42" s="3">
        <v>92291.56</v>
      </c>
    </row>
    <row r="43" spans="1:14">
      <c r="A43" s="3" t="s">
        <v>32</v>
      </c>
      <c r="B43" s="4">
        <v>45689</v>
      </c>
      <c r="C43" s="3" t="s">
        <v>15</v>
      </c>
      <c r="D43" s="3" t="s">
        <v>28</v>
      </c>
      <c r="E43" s="3">
        <v>46123.88</v>
      </c>
      <c r="F43" s="3">
        <v>3227</v>
      </c>
      <c r="G43" s="3">
        <v>0.14299999999999999</v>
      </c>
      <c r="H43" s="3">
        <v>10</v>
      </c>
      <c r="I43" s="3">
        <v>75.400000000000006</v>
      </c>
      <c r="J43" s="3">
        <v>1.06</v>
      </c>
      <c r="K43" s="3">
        <v>0</v>
      </c>
      <c r="L43" s="3">
        <v>4.4000000000000004</v>
      </c>
      <c r="M43" s="3">
        <v>532644.46</v>
      </c>
      <c r="N43" s="3">
        <v>60681.32</v>
      </c>
    </row>
    <row r="44" spans="1:14">
      <c r="A44" s="3" t="s">
        <v>32</v>
      </c>
      <c r="B44" s="4">
        <v>45717</v>
      </c>
      <c r="C44" s="3" t="s">
        <v>15</v>
      </c>
      <c r="D44" s="3" t="s">
        <v>28</v>
      </c>
      <c r="E44" s="3">
        <v>68077.539999999994</v>
      </c>
      <c r="F44" s="3">
        <v>3360</v>
      </c>
      <c r="G44" s="3">
        <v>0.128</v>
      </c>
      <c r="H44" s="3">
        <v>14</v>
      </c>
      <c r="I44" s="3">
        <v>88.2</v>
      </c>
      <c r="J44" s="3">
        <v>1.24</v>
      </c>
      <c r="K44" s="3">
        <v>1</v>
      </c>
      <c r="L44" s="3">
        <v>4</v>
      </c>
      <c r="M44" s="3">
        <v>657429.18000000005</v>
      </c>
      <c r="N44" s="3">
        <v>88919.74</v>
      </c>
    </row>
    <row r="45" spans="1:14">
      <c r="A45" s="3" t="s">
        <v>32</v>
      </c>
      <c r="B45" s="4">
        <v>45748</v>
      </c>
      <c r="C45" s="3" t="s">
        <v>15</v>
      </c>
      <c r="D45" s="3" t="s">
        <v>28</v>
      </c>
      <c r="E45" s="3">
        <v>64882.14</v>
      </c>
      <c r="F45" s="3">
        <v>3642</v>
      </c>
      <c r="G45" s="3">
        <v>1.9E-2</v>
      </c>
      <c r="H45" s="3">
        <v>13</v>
      </c>
      <c r="I45" s="3">
        <v>87.8</v>
      </c>
      <c r="J45" s="3">
        <v>4.5199999999999996</v>
      </c>
      <c r="K45" s="3">
        <v>0</v>
      </c>
      <c r="L45" s="3">
        <v>4.2</v>
      </c>
      <c r="M45" s="3">
        <v>605178</v>
      </c>
      <c r="N45" s="3">
        <v>106958.74</v>
      </c>
    </row>
    <row r="46" spans="1:14">
      <c r="A46" s="3" t="s">
        <v>33</v>
      </c>
      <c r="B46" s="4">
        <v>45658</v>
      </c>
      <c r="C46" s="3" t="s">
        <v>27</v>
      </c>
      <c r="D46" s="3" t="s">
        <v>16</v>
      </c>
      <c r="E46" s="3">
        <v>138855.51</v>
      </c>
      <c r="F46" s="3">
        <v>5145</v>
      </c>
      <c r="G46" s="3">
        <v>0.06</v>
      </c>
      <c r="H46" s="3">
        <v>17</v>
      </c>
      <c r="I46" s="3">
        <v>88.2</v>
      </c>
      <c r="J46" s="3">
        <v>9.58</v>
      </c>
      <c r="K46" s="3">
        <v>0</v>
      </c>
      <c r="L46" s="3">
        <v>3.2</v>
      </c>
      <c r="M46" s="3">
        <v>595467.6</v>
      </c>
      <c r="N46" s="3">
        <v>104276.46</v>
      </c>
    </row>
    <row r="47" spans="1:14">
      <c r="A47" s="3" t="s">
        <v>33</v>
      </c>
      <c r="B47" s="4">
        <v>45689</v>
      </c>
      <c r="C47" s="3" t="s">
        <v>27</v>
      </c>
      <c r="D47" s="3" t="s">
        <v>16</v>
      </c>
      <c r="E47" s="3">
        <v>63630.21</v>
      </c>
      <c r="F47" s="3">
        <v>4460</v>
      </c>
      <c r="G47" s="3">
        <v>0.23499999999999999</v>
      </c>
      <c r="H47" s="3">
        <v>14</v>
      </c>
      <c r="I47" s="3">
        <v>98.6</v>
      </c>
      <c r="J47" s="3">
        <v>5.52</v>
      </c>
      <c r="K47" s="3">
        <v>0</v>
      </c>
      <c r="L47" s="3">
        <v>3.5</v>
      </c>
      <c r="M47" s="3">
        <v>599603.4</v>
      </c>
      <c r="N47" s="3">
        <v>112685.12</v>
      </c>
    </row>
    <row r="48" spans="1:14">
      <c r="A48" s="3" t="s">
        <v>33</v>
      </c>
      <c r="B48" s="4">
        <v>45717</v>
      </c>
      <c r="C48" s="3" t="s">
        <v>27</v>
      </c>
      <c r="D48" s="3" t="s">
        <v>16</v>
      </c>
      <c r="E48" s="3">
        <v>50043.65</v>
      </c>
      <c r="F48" s="3">
        <v>3804</v>
      </c>
      <c r="G48" s="3">
        <v>0.113</v>
      </c>
      <c r="H48" s="3">
        <v>11</v>
      </c>
      <c r="I48" s="3">
        <v>90.9</v>
      </c>
      <c r="J48" s="3">
        <v>2.7</v>
      </c>
      <c r="K48" s="3">
        <v>1</v>
      </c>
      <c r="L48" s="3">
        <v>3.2</v>
      </c>
      <c r="M48" s="3">
        <v>614800.09</v>
      </c>
      <c r="N48" s="3">
        <v>100044.2</v>
      </c>
    </row>
    <row r="49" spans="1:14">
      <c r="A49" s="3" t="s">
        <v>33</v>
      </c>
      <c r="B49" s="4">
        <v>45748</v>
      </c>
      <c r="C49" s="3" t="s">
        <v>27</v>
      </c>
      <c r="D49" s="3" t="s">
        <v>16</v>
      </c>
      <c r="E49" s="3">
        <v>42093.84</v>
      </c>
      <c r="F49" s="3">
        <v>4074</v>
      </c>
      <c r="G49" s="3">
        <v>0.155</v>
      </c>
      <c r="H49" s="3">
        <v>15</v>
      </c>
      <c r="I49" s="3">
        <v>88</v>
      </c>
      <c r="J49" s="3">
        <v>9.64</v>
      </c>
      <c r="K49" s="3">
        <v>0</v>
      </c>
      <c r="L49" s="3">
        <v>3.3</v>
      </c>
      <c r="M49" s="3">
        <v>585365.73</v>
      </c>
      <c r="N49" s="3">
        <v>81011.520000000004</v>
      </c>
    </row>
    <row r="50" spans="1:14">
      <c r="A50" s="3" t="s">
        <v>34</v>
      </c>
      <c r="B50" s="4">
        <v>45658</v>
      </c>
      <c r="C50" s="3" t="s">
        <v>20</v>
      </c>
      <c r="D50" s="3" t="s">
        <v>28</v>
      </c>
      <c r="E50" s="3">
        <v>46624.05</v>
      </c>
      <c r="F50" s="3">
        <v>5104</v>
      </c>
      <c r="G50" s="3">
        <v>0.109</v>
      </c>
      <c r="H50" s="3">
        <v>11</v>
      </c>
      <c r="I50" s="3">
        <v>97.3</v>
      </c>
      <c r="J50" s="3">
        <v>3.49</v>
      </c>
      <c r="K50" s="3">
        <v>1</v>
      </c>
      <c r="L50" s="3">
        <v>4.7</v>
      </c>
      <c r="M50" s="3">
        <v>622811.74</v>
      </c>
      <c r="N50" s="3">
        <v>109978.35</v>
      </c>
    </row>
    <row r="51" spans="1:14">
      <c r="A51" s="3" t="s">
        <v>34</v>
      </c>
      <c r="B51" s="4">
        <v>45689</v>
      </c>
      <c r="C51" s="3" t="s">
        <v>20</v>
      </c>
      <c r="D51" s="3" t="s">
        <v>28</v>
      </c>
      <c r="E51" s="3">
        <v>49710.29</v>
      </c>
      <c r="F51" s="3">
        <v>5559</v>
      </c>
      <c r="G51" s="3">
        <v>0.218</v>
      </c>
      <c r="H51" s="3">
        <v>14</v>
      </c>
      <c r="I51" s="3">
        <v>71</v>
      </c>
      <c r="J51" s="3">
        <v>9.11</v>
      </c>
      <c r="K51" s="3">
        <v>0</v>
      </c>
      <c r="L51" s="3">
        <v>4.5999999999999996</v>
      </c>
      <c r="M51" s="3">
        <v>603297.56999999995</v>
      </c>
      <c r="N51" s="3">
        <v>60592.26</v>
      </c>
    </row>
    <row r="52" spans="1:14">
      <c r="A52" s="3" t="s">
        <v>34</v>
      </c>
      <c r="B52" s="4">
        <v>45717</v>
      </c>
      <c r="C52" s="3" t="s">
        <v>20</v>
      </c>
      <c r="D52" s="3" t="s">
        <v>28</v>
      </c>
      <c r="E52" s="3">
        <v>48287.85</v>
      </c>
      <c r="F52" s="3">
        <v>5150</v>
      </c>
      <c r="G52" s="3">
        <v>8.0000000000000002E-3</v>
      </c>
      <c r="H52" s="3">
        <v>12</v>
      </c>
      <c r="I52" s="3">
        <v>80.400000000000006</v>
      </c>
      <c r="J52" s="3">
        <v>7.4</v>
      </c>
      <c r="K52" s="3">
        <v>0</v>
      </c>
      <c r="L52" s="3">
        <v>4.5</v>
      </c>
      <c r="M52" s="3">
        <v>625672.86</v>
      </c>
      <c r="N52" s="3">
        <v>118020.12</v>
      </c>
    </row>
    <row r="53" spans="1:14">
      <c r="A53" s="3" t="s">
        <v>34</v>
      </c>
      <c r="B53" s="4">
        <v>45748</v>
      </c>
      <c r="C53" s="3" t="s">
        <v>20</v>
      </c>
      <c r="D53" s="3" t="s">
        <v>28</v>
      </c>
      <c r="E53" s="3">
        <v>65312.49</v>
      </c>
      <c r="F53" s="3">
        <v>7189</v>
      </c>
      <c r="G53" s="3">
        <v>0.05</v>
      </c>
      <c r="H53" s="3">
        <v>19</v>
      </c>
      <c r="I53" s="3">
        <v>93.7</v>
      </c>
      <c r="J53" s="3">
        <v>7.16</v>
      </c>
      <c r="K53" s="3">
        <v>0</v>
      </c>
      <c r="L53" s="3">
        <v>4.5999999999999996</v>
      </c>
      <c r="M53" s="3">
        <v>773815.14</v>
      </c>
      <c r="N53" s="3">
        <v>133948.39000000001</v>
      </c>
    </row>
    <row r="54" spans="1:14">
      <c r="A54" s="3" t="s">
        <v>35</v>
      </c>
      <c r="B54" s="4">
        <v>45658</v>
      </c>
      <c r="C54" s="3" t="s">
        <v>27</v>
      </c>
      <c r="D54" s="3" t="s">
        <v>18</v>
      </c>
      <c r="E54" s="3">
        <v>53015.46</v>
      </c>
      <c r="F54" s="3">
        <v>3279</v>
      </c>
      <c r="G54" s="3">
        <v>8.6999999999999994E-2</v>
      </c>
      <c r="H54" s="3">
        <v>9</v>
      </c>
      <c r="I54" s="3">
        <v>84.3</v>
      </c>
      <c r="J54" s="3">
        <v>22.02</v>
      </c>
      <c r="K54" s="3">
        <v>0</v>
      </c>
      <c r="L54" s="3">
        <v>3.9</v>
      </c>
      <c r="M54" s="3">
        <v>463534.25</v>
      </c>
      <c r="N54" s="3">
        <v>81834.539999999994</v>
      </c>
    </row>
    <row r="55" spans="1:14">
      <c r="A55" s="3" t="s">
        <v>35</v>
      </c>
      <c r="B55" s="4">
        <v>45689</v>
      </c>
      <c r="C55" s="3" t="s">
        <v>27</v>
      </c>
      <c r="D55" s="3" t="s">
        <v>18</v>
      </c>
      <c r="E55" s="3">
        <v>99874.01</v>
      </c>
      <c r="F55" s="3">
        <v>5887</v>
      </c>
      <c r="G55" s="3">
        <v>0.26200000000000001</v>
      </c>
      <c r="H55" s="3">
        <v>14</v>
      </c>
      <c r="I55" s="3">
        <v>88.7</v>
      </c>
      <c r="J55" s="3">
        <v>6.18</v>
      </c>
      <c r="K55" s="3">
        <v>0</v>
      </c>
      <c r="L55" s="3">
        <v>4.7</v>
      </c>
      <c r="M55" s="3">
        <v>746677.75</v>
      </c>
      <c r="N55" s="3">
        <v>122437.84</v>
      </c>
    </row>
    <row r="56" spans="1:14">
      <c r="A56" s="3" t="s">
        <v>35</v>
      </c>
      <c r="B56" s="4">
        <v>45717</v>
      </c>
      <c r="C56" s="3" t="s">
        <v>27</v>
      </c>
      <c r="D56" s="3" t="s">
        <v>18</v>
      </c>
      <c r="E56" s="3">
        <v>81195.5</v>
      </c>
      <c r="F56" s="3">
        <v>5516</v>
      </c>
      <c r="G56" s="3">
        <v>0.106</v>
      </c>
      <c r="H56" s="3">
        <v>14</v>
      </c>
      <c r="I56" s="3">
        <v>88</v>
      </c>
      <c r="J56" s="3">
        <v>1.76</v>
      </c>
      <c r="K56" s="3">
        <v>0</v>
      </c>
      <c r="L56" s="3">
        <v>4.3</v>
      </c>
      <c r="M56" s="3">
        <v>720852.5</v>
      </c>
      <c r="N56" s="3">
        <v>98565.62</v>
      </c>
    </row>
    <row r="57" spans="1:14">
      <c r="A57" s="3" t="s">
        <v>35</v>
      </c>
      <c r="B57" s="4">
        <v>45748</v>
      </c>
      <c r="C57" s="3" t="s">
        <v>27</v>
      </c>
      <c r="D57" s="3" t="s">
        <v>18</v>
      </c>
      <c r="E57" s="3">
        <v>27808.6</v>
      </c>
      <c r="F57" s="3">
        <v>2863</v>
      </c>
      <c r="G57" s="3">
        <v>0.08</v>
      </c>
      <c r="H57" s="3">
        <v>13</v>
      </c>
      <c r="I57" s="3">
        <v>89.3</v>
      </c>
      <c r="J57" s="3">
        <v>0.47</v>
      </c>
      <c r="K57" s="3">
        <v>0</v>
      </c>
      <c r="L57" s="3">
        <v>4.0999999999999996</v>
      </c>
      <c r="M57" s="3">
        <v>487464.91</v>
      </c>
      <c r="N57" s="3">
        <v>64562.26</v>
      </c>
    </row>
    <row r="58" spans="1:14">
      <c r="A58" s="3" t="s">
        <v>36</v>
      </c>
      <c r="B58" s="4">
        <v>45658</v>
      </c>
      <c r="C58" s="3" t="s">
        <v>15</v>
      </c>
      <c r="D58" s="3" t="s">
        <v>21</v>
      </c>
      <c r="E58" s="3">
        <v>19365.060000000001</v>
      </c>
      <c r="F58" s="3">
        <v>2378</v>
      </c>
      <c r="G58" s="3">
        <v>0</v>
      </c>
      <c r="H58" s="3">
        <v>12</v>
      </c>
      <c r="I58" s="3">
        <v>94.8</v>
      </c>
      <c r="J58" s="3">
        <v>0.2</v>
      </c>
      <c r="K58" s="3">
        <v>0</v>
      </c>
      <c r="L58" s="3">
        <v>3.5</v>
      </c>
      <c r="M58" s="3">
        <v>518049.26</v>
      </c>
      <c r="N58" s="3">
        <v>108592.49</v>
      </c>
    </row>
    <row r="59" spans="1:14">
      <c r="A59" s="3" t="s">
        <v>36</v>
      </c>
      <c r="B59" s="4">
        <v>45689</v>
      </c>
      <c r="C59" s="3" t="s">
        <v>15</v>
      </c>
      <c r="D59" s="3" t="s">
        <v>21</v>
      </c>
      <c r="E59" s="3">
        <v>59405.68</v>
      </c>
      <c r="F59" s="3">
        <v>2515</v>
      </c>
      <c r="G59" s="3">
        <v>3.9E-2</v>
      </c>
      <c r="H59" s="3">
        <v>12</v>
      </c>
      <c r="I59" s="3">
        <v>76</v>
      </c>
      <c r="J59" s="3">
        <v>5.1100000000000003</v>
      </c>
      <c r="K59" s="3">
        <v>0</v>
      </c>
      <c r="L59" s="3">
        <v>3.7</v>
      </c>
      <c r="M59" s="3">
        <v>500298.48</v>
      </c>
      <c r="N59" s="3">
        <v>73461.320000000007</v>
      </c>
    </row>
    <row r="60" spans="1:14">
      <c r="A60" s="3" t="s">
        <v>36</v>
      </c>
      <c r="B60" s="4">
        <v>45717</v>
      </c>
      <c r="C60" s="3" t="s">
        <v>15</v>
      </c>
      <c r="D60" s="3" t="s">
        <v>21</v>
      </c>
      <c r="E60" s="3">
        <v>118910.48</v>
      </c>
      <c r="F60" s="3">
        <v>4022</v>
      </c>
      <c r="G60" s="3">
        <v>0.13700000000000001</v>
      </c>
      <c r="H60" s="3">
        <v>11</v>
      </c>
      <c r="I60" s="3">
        <v>87.1</v>
      </c>
      <c r="J60" s="3">
        <v>0.2</v>
      </c>
      <c r="K60" s="3">
        <v>0</v>
      </c>
      <c r="L60" s="3">
        <v>3.1</v>
      </c>
      <c r="M60" s="3">
        <v>617291.15</v>
      </c>
      <c r="N60" s="3">
        <v>117782</v>
      </c>
    </row>
    <row r="61" spans="1:14">
      <c r="A61" s="3" t="s">
        <v>36</v>
      </c>
      <c r="B61" s="4">
        <v>45748</v>
      </c>
      <c r="C61" s="3" t="s">
        <v>15</v>
      </c>
      <c r="D61" s="3" t="s">
        <v>21</v>
      </c>
      <c r="E61" s="3">
        <v>52952.12</v>
      </c>
      <c r="F61" s="3">
        <v>4377</v>
      </c>
      <c r="G61" s="3">
        <v>9.1999999999999998E-2</v>
      </c>
      <c r="H61" s="3">
        <v>14</v>
      </c>
      <c r="I61" s="3">
        <v>88.6</v>
      </c>
      <c r="J61" s="3">
        <v>13.59</v>
      </c>
      <c r="K61" s="3">
        <v>0</v>
      </c>
      <c r="L61" s="3">
        <v>3.1</v>
      </c>
      <c r="M61" s="3">
        <v>553756.43000000005</v>
      </c>
      <c r="N61" s="3">
        <v>86166.77</v>
      </c>
    </row>
    <row r="62" spans="1:14">
      <c r="A62" s="3" t="s">
        <v>37</v>
      </c>
      <c r="B62" s="4">
        <v>45658</v>
      </c>
      <c r="C62" s="3" t="s">
        <v>24</v>
      </c>
      <c r="D62" s="3" t="s">
        <v>18</v>
      </c>
      <c r="E62" s="3">
        <v>74907.98</v>
      </c>
      <c r="F62" s="3">
        <v>5306</v>
      </c>
      <c r="G62" s="3">
        <v>6.2E-2</v>
      </c>
      <c r="H62" s="3">
        <v>16</v>
      </c>
      <c r="I62" s="3">
        <v>95.6</v>
      </c>
      <c r="J62" s="3">
        <v>1.02</v>
      </c>
      <c r="K62" s="3">
        <v>0</v>
      </c>
      <c r="L62" s="3">
        <v>3.7</v>
      </c>
      <c r="M62" s="3">
        <v>749559.71</v>
      </c>
      <c r="N62" s="3">
        <v>144522.53</v>
      </c>
    </row>
    <row r="63" spans="1:14">
      <c r="A63" s="3" t="s">
        <v>37</v>
      </c>
      <c r="B63" s="4">
        <v>45689</v>
      </c>
      <c r="C63" s="3" t="s">
        <v>24</v>
      </c>
      <c r="D63" s="3" t="s">
        <v>18</v>
      </c>
      <c r="E63" s="3">
        <v>37284.660000000003</v>
      </c>
      <c r="F63" s="3">
        <v>3928</v>
      </c>
      <c r="G63" s="3">
        <v>7.3999999999999996E-2</v>
      </c>
      <c r="H63" s="3">
        <v>12</v>
      </c>
      <c r="I63" s="3">
        <v>86.5</v>
      </c>
      <c r="J63" s="3">
        <v>1.64</v>
      </c>
      <c r="K63" s="3">
        <v>0</v>
      </c>
      <c r="L63" s="3">
        <v>3.8</v>
      </c>
      <c r="M63" s="3">
        <v>615966.48</v>
      </c>
      <c r="N63" s="3">
        <v>91509.38</v>
      </c>
    </row>
    <row r="64" spans="1:14">
      <c r="A64" s="3" t="s">
        <v>37</v>
      </c>
      <c r="B64" s="4">
        <v>45717</v>
      </c>
      <c r="C64" s="3" t="s">
        <v>24</v>
      </c>
      <c r="D64" s="3" t="s">
        <v>18</v>
      </c>
      <c r="E64" s="3">
        <v>50343.19</v>
      </c>
      <c r="F64" s="3">
        <v>3845</v>
      </c>
      <c r="G64" s="3">
        <v>0.113</v>
      </c>
      <c r="H64" s="3">
        <v>9</v>
      </c>
      <c r="I64" s="3">
        <v>88.7</v>
      </c>
      <c r="J64" s="3">
        <v>5.15</v>
      </c>
      <c r="K64" s="3">
        <v>0</v>
      </c>
      <c r="L64" s="3">
        <v>3.3</v>
      </c>
      <c r="M64" s="3">
        <v>572011.19999999995</v>
      </c>
      <c r="N64" s="3">
        <v>101409.68</v>
      </c>
    </row>
    <row r="65" spans="1:14">
      <c r="A65" s="3" t="s">
        <v>37</v>
      </c>
      <c r="B65" s="4">
        <v>45748</v>
      </c>
      <c r="C65" s="3" t="s">
        <v>24</v>
      </c>
      <c r="D65" s="3" t="s">
        <v>18</v>
      </c>
      <c r="E65" s="3">
        <v>74954.47</v>
      </c>
      <c r="F65" s="3">
        <v>6620</v>
      </c>
      <c r="G65" s="3">
        <v>5.3999999999999999E-2</v>
      </c>
      <c r="H65" s="3">
        <v>17</v>
      </c>
      <c r="I65" s="3">
        <v>91.1</v>
      </c>
      <c r="J65" s="3">
        <v>1.1100000000000001</v>
      </c>
      <c r="K65" s="3">
        <v>0</v>
      </c>
      <c r="L65" s="3">
        <v>3.5</v>
      </c>
      <c r="M65" s="3">
        <v>761860.19</v>
      </c>
      <c r="N65" s="3">
        <v>133279.38</v>
      </c>
    </row>
    <row r="66" spans="1:14">
      <c r="A66" s="3" t="s">
        <v>38</v>
      </c>
      <c r="B66" s="4">
        <v>45658</v>
      </c>
      <c r="C66" s="3" t="s">
        <v>27</v>
      </c>
      <c r="D66" s="3" t="s">
        <v>18</v>
      </c>
      <c r="E66" s="3">
        <v>70040.31</v>
      </c>
      <c r="F66" s="3">
        <v>9175</v>
      </c>
      <c r="G66" s="3">
        <v>0.107</v>
      </c>
      <c r="H66" s="3">
        <v>23</v>
      </c>
      <c r="I66" s="3">
        <v>95.1</v>
      </c>
      <c r="J66" s="3">
        <v>6.08</v>
      </c>
      <c r="K66" s="3">
        <v>1</v>
      </c>
      <c r="L66" s="3">
        <v>3.4</v>
      </c>
      <c r="M66" s="3">
        <v>784502.68</v>
      </c>
      <c r="N66" s="3">
        <v>129519.72</v>
      </c>
    </row>
    <row r="67" spans="1:14">
      <c r="A67" s="3" t="s">
        <v>38</v>
      </c>
      <c r="B67" s="4">
        <v>45689</v>
      </c>
      <c r="C67" s="3" t="s">
        <v>27</v>
      </c>
      <c r="D67" s="3" t="s">
        <v>18</v>
      </c>
      <c r="E67" s="3">
        <v>51148.69</v>
      </c>
      <c r="F67" s="3">
        <v>7940</v>
      </c>
      <c r="G67" s="3">
        <v>0.156</v>
      </c>
      <c r="H67" s="3">
        <v>18</v>
      </c>
      <c r="I67" s="3">
        <v>93.3</v>
      </c>
      <c r="J67" s="3">
        <v>10.91</v>
      </c>
      <c r="K67" s="3">
        <v>0</v>
      </c>
      <c r="L67" s="3">
        <v>3.6</v>
      </c>
      <c r="M67" s="3">
        <v>717141.55</v>
      </c>
      <c r="N67" s="3">
        <v>134013.60999999999</v>
      </c>
    </row>
    <row r="68" spans="1:14">
      <c r="A68" s="3" t="s">
        <v>38</v>
      </c>
      <c r="B68" s="4">
        <v>45717</v>
      </c>
      <c r="C68" s="3" t="s">
        <v>27</v>
      </c>
      <c r="D68" s="3" t="s">
        <v>18</v>
      </c>
      <c r="E68" s="3">
        <v>79346.100000000006</v>
      </c>
      <c r="F68" s="3">
        <v>9628</v>
      </c>
      <c r="G68" s="3">
        <v>0.10199999999999999</v>
      </c>
      <c r="H68" s="3">
        <v>20</v>
      </c>
      <c r="I68" s="3">
        <v>99</v>
      </c>
      <c r="J68" s="3">
        <v>19.010000000000002</v>
      </c>
      <c r="K68" s="3">
        <v>1</v>
      </c>
      <c r="L68" s="3">
        <v>3.2</v>
      </c>
      <c r="M68" s="3">
        <v>685379.08</v>
      </c>
      <c r="N68" s="3">
        <v>106898.82</v>
      </c>
    </row>
    <row r="69" spans="1:14">
      <c r="A69" s="3" t="s">
        <v>38</v>
      </c>
      <c r="B69" s="4">
        <v>45748</v>
      </c>
      <c r="C69" s="3" t="s">
        <v>27</v>
      </c>
      <c r="D69" s="3" t="s">
        <v>18</v>
      </c>
      <c r="E69" s="3">
        <v>42018.400000000001</v>
      </c>
      <c r="F69" s="3">
        <v>8296</v>
      </c>
      <c r="G69" s="3">
        <v>0.115</v>
      </c>
      <c r="H69" s="3">
        <v>17</v>
      </c>
      <c r="I69" s="3">
        <v>91.8</v>
      </c>
      <c r="J69" s="3">
        <v>0.77</v>
      </c>
      <c r="K69" s="3">
        <v>0</v>
      </c>
      <c r="L69" s="3">
        <v>3.4</v>
      </c>
      <c r="M69" s="3">
        <v>740496.65</v>
      </c>
      <c r="N69" s="3">
        <v>128020.9</v>
      </c>
    </row>
    <row r="70" spans="1:14">
      <c r="A70" s="3" t="s">
        <v>39</v>
      </c>
      <c r="B70" s="4">
        <v>45658</v>
      </c>
      <c r="C70" s="3" t="s">
        <v>15</v>
      </c>
      <c r="D70" s="3" t="s">
        <v>18</v>
      </c>
      <c r="E70" s="3">
        <v>70937.240000000005</v>
      </c>
      <c r="F70" s="3">
        <v>3595</v>
      </c>
      <c r="G70" s="3">
        <v>0.14099999999999999</v>
      </c>
      <c r="H70" s="3">
        <v>11</v>
      </c>
      <c r="I70" s="3">
        <v>88.9</v>
      </c>
      <c r="J70" s="3">
        <v>2.83</v>
      </c>
      <c r="K70" s="3">
        <v>1</v>
      </c>
      <c r="L70" s="3">
        <v>3.3</v>
      </c>
      <c r="M70" s="3">
        <v>661927.14</v>
      </c>
      <c r="N70" s="3">
        <v>79218.570000000007</v>
      </c>
    </row>
    <row r="71" spans="1:14">
      <c r="A71" s="3" t="s">
        <v>39</v>
      </c>
      <c r="B71" s="4">
        <v>45689</v>
      </c>
      <c r="C71" s="3" t="s">
        <v>15</v>
      </c>
      <c r="D71" s="3" t="s">
        <v>18</v>
      </c>
      <c r="E71" s="3">
        <v>36813.449999999997</v>
      </c>
      <c r="F71" s="3">
        <v>2834</v>
      </c>
      <c r="G71" s="3">
        <v>0.191</v>
      </c>
      <c r="H71" s="3">
        <v>11</v>
      </c>
      <c r="I71" s="3">
        <v>81.8</v>
      </c>
      <c r="J71" s="3">
        <v>2.33</v>
      </c>
      <c r="K71" s="3">
        <v>0</v>
      </c>
      <c r="L71" s="3">
        <v>3.3</v>
      </c>
      <c r="M71" s="3">
        <v>479050.5</v>
      </c>
      <c r="N71" s="3">
        <v>53651.11</v>
      </c>
    </row>
    <row r="72" spans="1:14">
      <c r="A72" s="3" t="s">
        <v>39</v>
      </c>
      <c r="B72" s="4">
        <v>45717</v>
      </c>
      <c r="C72" s="3" t="s">
        <v>15</v>
      </c>
      <c r="D72" s="3" t="s">
        <v>18</v>
      </c>
      <c r="E72" s="3">
        <v>60571.82</v>
      </c>
      <c r="F72" s="3">
        <v>3193</v>
      </c>
      <c r="G72" s="3">
        <v>0.19700000000000001</v>
      </c>
      <c r="H72" s="3">
        <v>7</v>
      </c>
      <c r="I72" s="3">
        <v>99</v>
      </c>
      <c r="J72" s="3">
        <v>1.43</v>
      </c>
      <c r="K72" s="3">
        <v>0</v>
      </c>
      <c r="L72" s="3">
        <v>3.2</v>
      </c>
      <c r="M72" s="3">
        <v>605023.87</v>
      </c>
      <c r="N72" s="3">
        <v>98545.81</v>
      </c>
    </row>
    <row r="73" spans="1:14">
      <c r="A73" s="3" t="s">
        <v>39</v>
      </c>
      <c r="B73" s="4">
        <v>45748</v>
      </c>
      <c r="C73" s="3" t="s">
        <v>15</v>
      </c>
      <c r="D73" s="3" t="s">
        <v>18</v>
      </c>
      <c r="E73" s="3">
        <v>55081.16</v>
      </c>
      <c r="F73" s="3">
        <v>5485</v>
      </c>
      <c r="G73" s="3">
        <v>3.5999999999999997E-2</v>
      </c>
      <c r="H73" s="3">
        <v>12</v>
      </c>
      <c r="I73" s="3">
        <v>88</v>
      </c>
      <c r="J73" s="5">
        <v>4.5599999999999996</v>
      </c>
      <c r="K73" s="3">
        <v>0</v>
      </c>
      <c r="L73" s="3">
        <v>3.5</v>
      </c>
      <c r="M73" s="3">
        <v>674774.09</v>
      </c>
      <c r="N73" s="3">
        <v>141917.59</v>
      </c>
    </row>
    <row r="74" spans="1:14">
      <c r="A74" s="3" t="s">
        <v>40</v>
      </c>
      <c r="B74" s="4">
        <v>45658</v>
      </c>
      <c r="C74" s="3" t="s">
        <v>15</v>
      </c>
      <c r="D74" s="3" t="s">
        <v>16</v>
      </c>
      <c r="E74" s="3">
        <v>46201.46</v>
      </c>
      <c r="F74" s="3">
        <v>5918</v>
      </c>
      <c r="G74" s="3">
        <v>0.27700000000000002</v>
      </c>
      <c r="H74" s="3">
        <v>13</v>
      </c>
      <c r="I74" s="3">
        <v>78.8</v>
      </c>
      <c r="J74" s="3">
        <v>4.91</v>
      </c>
      <c r="K74" s="3">
        <v>0</v>
      </c>
      <c r="L74" s="3">
        <v>4.5</v>
      </c>
      <c r="M74" s="3">
        <v>616069.41</v>
      </c>
      <c r="N74" s="3">
        <v>54453.99</v>
      </c>
    </row>
    <row r="75" spans="1:14">
      <c r="A75" s="3" t="s">
        <v>40</v>
      </c>
      <c r="B75" s="4">
        <v>45689</v>
      </c>
      <c r="C75" s="3" t="s">
        <v>15</v>
      </c>
      <c r="D75" s="3" t="s">
        <v>16</v>
      </c>
      <c r="E75" s="3">
        <v>53762.92</v>
      </c>
      <c r="F75" s="3">
        <v>6821</v>
      </c>
      <c r="G75" s="3">
        <v>6.6000000000000003E-2</v>
      </c>
      <c r="H75" s="3">
        <v>19</v>
      </c>
      <c r="I75" s="3">
        <v>94.6</v>
      </c>
      <c r="J75" s="3">
        <v>7.03</v>
      </c>
      <c r="K75" s="3">
        <v>0</v>
      </c>
      <c r="L75" s="3">
        <v>4.4000000000000004</v>
      </c>
      <c r="M75" s="3">
        <v>630829.93999999994</v>
      </c>
      <c r="N75" s="3">
        <v>117090.02</v>
      </c>
    </row>
    <row r="76" spans="1:14">
      <c r="A76" s="3" t="s">
        <v>40</v>
      </c>
      <c r="B76" s="4">
        <v>45717</v>
      </c>
      <c r="C76" s="3" t="s">
        <v>15</v>
      </c>
      <c r="D76" s="3" t="s">
        <v>16</v>
      </c>
      <c r="E76" s="3">
        <v>70144.78</v>
      </c>
      <c r="F76" s="3">
        <v>6806</v>
      </c>
      <c r="G76" s="3">
        <v>0.17799999999999999</v>
      </c>
      <c r="H76" s="3">
        <v>20</v>
      </c>
      <c r="I76" s="3">
        <v>93.1</v>
      </c>
      <c r="J76" s="3">
        <v>0.28000000000000003</v>
      </c>
      <c r="K76" s="3">
        <v>1</v>
      </c>
      <c r="L76" s="3">
        <v>4.3</v>
      </c>
      <c r="M76" s="3">
        <v>788087.68</v>
      </c>
      <c r="N76" s="3">
        <v>116803.42</v>
      </c>
    </row>
    <row r="77" spans="1:14">
      <c r="A77" s="3" t="s">
        <v>40</v>
      </c>
      <c r="B77" s="4">
        <v>45748</v>
      </c>
      <c r="C77" s="3" t="s">
        <v>15</v>
      </c>
      <c r="D77" s="3" t="s">
        <v>16</v>
      </c>
      <c r="E77" s="3">
        <v>58749.63</v>
      </c>
      <c r="F77" s="3">
        <v>8252</v>
      </c>
      <c r="G77" s="3">
        <v>0.20300000000000001</v>
      </c>
      <c r="H77" s="3">
        <v>20</v>
      </c>
      <c r="I77" s="3">
        <v>85.2</v>
      </c>
      <c r="J77" s="3">
        <v>3.61</v>
      </c>
      <c r="K77" s="3">
        <v>0</v>
      </c>
      <c r="L77" s="3">
        <v>4.5</v>
      </c>
      <c r="M77" s="3">
        <v>680840.36</v>
      </c>
      <c r="N77" s="3">
        <v>68007.679999999993</v>
      </c>
    </row>
    <row r="78" spans="1:14">
      <c r="A78" s="3" t="s">
        <v>41</v>
      </c>
      <c r="B78" s="4">
        <v>45658</v>
      </c>
      <c r="C78" s="3" t="s">
        <v>24</v>
      </c>
      <c r="D78" s="3" t="s">
        <v>18</v>
      </c>
      <c r="E78" s="3">
        <v>56973.18</v>
      </c>
      <c r="F78" s="3">
        <v>6662</v>
      </c>
      <c r="G78" s="3">
        <v>0.1</v>
      </c>
      <c r="H78" s="3">
        <v>15</v>
      </c>
      <c r="I78" s="3">
        <v>77.7</v>
      </c>
      <c r="J78" s="3">
        <v>7.52</v>
      </c>
      <c r="K78" s="3">
        <v>1</v>
      </c>
      <c r="L78" s="3">
        <v>3.2</v>
      </c>
      <c r="M78" s="3">
        <v>643657.47</v>
      </c>
      <c r="N78" s="3">
        <v>87022.45</v>
      </c>
    </row>
    <row r="79" spans="1:14">
      <c r="A79" s="3" t="s">
        <v>41</v>
      </c>
      <c r="B79" s="4">
        <v>45689</v>
      </c>
      <c r="C79" s="3" t="s">
        <v>24</v>
      </c>
      <c r="D79" s="3" t="s">
        <v>18</v>
      </c>
      <c r="E79" s="3">
        <v>54872.82</v>
      </c>
      <c r="F79" s="3">
        <v>5962</v>
      </c>
      <c r="G79" s="3">
        <v>6.4000000000000001E-2</v>
      </c>
      <c r="H79" s="3">
        <v>12</v>
      </c>
      <c r="I79" s="3">
        <v>85.4</v>
      </c>
      <c r="J79" s="3">
        <v>2.58</v>
      </c>
      <c r="K79" s="3">
        <v>0</v>
      </c>
      <c r="L79" s="3">
        <v>2.9</v>
      </c>
      <c r="M79" s="3">
        <v>691112.6</v>
      </c>
      <c r="N79" s="3">
        <v>109212.83</v>
      </c>
    </row>
    <row r="80" spans="1:14">
      <c r="A80" s="3" t="s">
        <v>41</v>
      </c>
      <c r="B80" s="4">
        <v>45717</v>
      </c>
      <c r="C80" s="3" t="s">
        <v>24</v>
      </c>
      <c r="D80" s="3" t="s">
        <v>18</v>
      </c>
      <c r="E80" s="3">
        <v>80562.81</v>
      </c>
      <c r="F80" s="3">
        <v>7470</v>
      </c>
      <c r="G80" s="3">
        <v>0.17199999999999999</v>
      </c>
      <c r="H80" s="3">
        <v>16</v>
      </c>
      <c r="I80" s="3">
        <v>83.5</v>
      </c>
      <c r="J80" s="3">
        <v>2.29</v>
      </c>
      <c r="K80" s="3">
        <v>0</v>
      </c>
      <c r="L80" s="3">
        <v>3.3</v>
      </c>
      <c r="M80" s="3">
        <v>776922.17</v>
      </c>
      <c r="N80" s="3">
        <v>150701.93</v>
      </c>
    </row>
    <row r="81" spans="1:14">
      <c r="A81" s="3" t="s">
        <v>41</v>
      </c>
      <c r="B81" s="4">
        <v>45748</v>
      </c>
      <c r="C81" s="3" t="s">
        <v>24</v>
      </c>
      <c r="D81" s="3" t="s">
        <v>18</v>
      </c>
      <c r="E81" s="3">
        <v>77999.899999999994</v>
      </c>
      <c r="F81" s="3">
        <v>5974</v>
      </c>
      <c r="G81" s="3">
        <v>0.252</v>
      </c>
      <c r="H81" s="3">
        <v>14</v>
      </c>
      <c r="I81" s="3">
        <v>81.3</v>
      </c>
      <c r="J81" s="3">
        <v>2.39</v>
      </c>
      <c r="K81" s="3">
        <v>0</v>
      </c>
      <c r="L81" s="3">
        <v>3.2</v>
      </c>
      <c r="M81" s="3">
        <v>636561.34</v>
      </c>
      <c r="N81" s="3">
        <v>93861.06</v>
      </c>
    </row>
    <row r="82" spans="1:14">
      <c r="A82" s="3" t="s">
        <v>42</v>
      </c>
      <c r="B82" s="4">
        <v>45658</v>
      </c>
      <c r="C82" s="3" t="s">
        <v>27</v>
      </c>
      <c r="D82" s="3" t="s">
        <v>28</v>
      </c>
      <c r="E82" s="3">
        <v>60881.01</v>
      </c>
      <c r="F82" s="3">
        <v>5410</v>
      </c>
      <c r="G82" s="3">
        <v>0.17899999999999999</v>
      </c>
      <c r="H82" s="3">
        <v>15</v>
      </c>
      <c r="I82" s="3">
        <v>83.9</v>
      </c>
      <c r="J82" s="3">
        <v>5.24</v>
      </c>
      <c r="K82" s="3">
        <v>0</v>
      </c>
      <c r="L82" s="3">
        <v>4.5999999999999996</v>
      </c>
      <c r="M82" s="3">
        <v>621369.57999999996</v>
      </c>
      <c r="N82" s="3">
        <v>85493.64</v>
      </c>
    </row>
    <row r="83" spans="1:14">
      <c r="A83" s="3" t="s">
        <v>42</v>
      </c>
      <c r="B83" s="4">
        <v>45689</v>
      </c>
      <c r="C83" s="3" t="s">
        <v>27</v>
      </c>
      <c r="D83" s="3" t="s">
        <v>28</v>
      </c>
      <c r="E83" s="3">
        <v>60628.38</v>
      </c>
      <c r="F83" s="3">
        <v>4451</v>
      </c>
      <c r="G83" s="3">
        <v>9.5000000000000001E-2</v>
      </c>
      <c r="H83" s="3">
        <v>10</v>
      </c>
      <c r="I83" s="3">
        <v>89.6</v>
      </c>
      <c r="J83" s="3">
        <v>3.17</v>
      </c>
      <c r="K83" s="3">
        <v>0</v>
      </c>
      <c r="L83" s="3">
        <v>4.5999999999999996</v>
      </c>
      <c r="M83" s="3">
        <v>682208.01</v>
      </c>
      <c r="N83" s="3">
        <v>110318.84</v>
      </c>
    </row>
    <row r="84" spans="1:14">
      <c r="A84" s="3" t="s">
        <v>42</v>
      </c>
      <c r="B84" s="4">
        <v>45717</v>
      </c>
      <c r="C84" s="3" t="s">
        <v>27</v>
      </c>
      <c r="D84" s="3" t="s">
        <v>28</v>
      </c>
      <c r="E84" s="3">
        <v>72731.14</v>
      </c>
      <c r="F84" s="3">
        <v>4644</v>
      </c>
      <c r="G84" s="3">
        <v>8.4000000000000005E-2</v>
      </c>
      <c r="H84" s="3">
        <v>15</v>
      </c>
      <c r="I84" s="3">
        <v>87.1</v>
      </c>
      <c r="J84" s="3">
        <v>2.66</v>
      </c>
      <c r="K84" s="3">
        <v>0</v>
      </c>
      <c r="L84" s="3">
        <v>4.5999999999999996</v>
      </c>
      <c r="M84" s="3">
        <v>727241.86</v>
      </c>
      <c r="N84" s="3">
        <v>155810.29999999999</v>
      </c>
    </row>
    <row r="85" spans="1:14">
      <c r="A85" s="3" t="s">
        <v>42</v>
      </c>
      <c r="B85" s="4">
        <v>45748</v>
      </c>
      <c r="C85" s="3" t="s">
        <v>27</v>
      </c>
      <c r="D85" s="3" t="s">
        <v>28</v>
      </c>
      <c r="E85" s="3">
        <v>36475.71</v>
      </c>
      <c r="F85" s="3">
        <v>3559</v>
      </c>
      <c r="G85" s="3">
        <v>0.03</v>
      </c>
      <c r="H85" s="3">
        <v>8</v>
      </c>
      <c r="I85" s="3">
        <v>83.6</v>
      </c>
      <c r="J85" s="3">
        <v>1.41</v>
      </c>
      <c r="K85" s="3">
        <v>0</v>
      </c>
      <c r="L85" s="3">
        <v>4.2</v>
      </c>
      <c r="M85" s="3">
        <v>569100.78</v>
      </c>
      <c r="N85" s="3">
        <v>104808.78</v>
      </c>
    </row>
    <row r="86" spans="1:14">
      <c r="A86" s="3" t="s">
        <v>43</v>
      </c>
      <c r="B86" s="4">
        <v>45658</v>
      </c>
      <c r="C86" s="3" t="s">
        <v>27</v>
      </c>
      <c r="D86" s="3" t="s">
        <v>18</v>
      </c>
      <c r="E86" s="3">
        <v>55388.11</v>
      </c>
      <c r="F86" s="3">
        <v>3091</v>
      </c>
      <c r="G86" s="3">
        <v>0.108</v>
      </c>
      <c r="H86" s="3">
        <v>7</v>
      </c>
      <c r="I86" s="3">
        <v>85.4</v>
      </c>
      <c r="J86" s="3">
        <v>7.34</v>
      </c>
      <c r="K86" s="3">
        <v>0</v>
      </c>
      <c r="L86" s="3">
        <v>4.9000000000000004</v>
      </c>
      <c r="M86" s="3">
        <v>574436.29</v>
      </c>
      <c r="N86" s="3">
        <v>80271.990000000005</v>
      </c>
    </row>
    <row r="87" spans="1:14">
      <c r="A87" s="3" t="s">
        <v>43</v>
      </c>
      <c r="B87" s="4">
        <v>45689</v>
      </c>
      <c r="C87" s="3" t="s">
        <v>27</v>
      </c>
      <c r="D87" s="3" t="s">
        <v>18</v>
      </c>
      <c r="E87" s="3">
        <v>88443.77</v>
      </c>
      <c r="F87" s="3">
        <v>4004</v>
      </c>
      <c r="G87" s="3">
        <v>0.20599999999999999</v>
      </c>
      <c r="H87" s="3">
        <v>11</v>
      </c>
      <c r="I87" s="3">
        <v>91.9</v>
      </c>
      <c r="J87" s="3">
        <v>5.95</v>
      </c>
      <c r="K87" s="3">
        <v>0</v>
      </c>
      <c r="L87" s="5">
        <v>3.9</v>
      </c>
      <c r="M87" s="3">
        <v>611766.72</v>
      </c>
      <c r="N87" s="3">
        <v>88275.61</v>
      </c>
    </row>
    <row r="88" spans="1:14">
      <c r="A88" s="3" t="s">
        <v>43</v>
      </c>
      <c r="B88" s="4">
        <v>45717</v>
      </c>
      <c r="C88" s="3" t="s">
        <v>27</v>
      </c>
      <c r="D88" s="3" t="s">
        <v>18</v>
      </c>
      <c r="E88" s="3">
        <v>78231.91</v>
      </c>
      <c r="F88" s="3">
        <v>3788</v>
      </c>
      <c r="G88" s="3">
        <v>5.8999999999999997E-2</v>
      </c>
      <c r="H88" s="3">
        <v>11</v>
      </c>
      <c r="I88" s="3">
        <v>88.5</v>
      </c>
      <c r="J88" s="3">
        <v>15.51</v>
      </c>
      <c r="K88" s="3">
        <v>0</v>
      </c>
      <c r="L88" s="3">
        <v>4.3</v>
      </c>
      <c r="M88" s="3">
        <v>614596.31999999995</v>
      </c>
      <c r="N88" s="3">
        <v>131199.41</v>
      </c>
    </row>
    <row r="89" spans="1:14">
      <c r="A89" s="3" t="s">
        <v>43</v>
      </c>
      <c r="B89" s="4">
        <v>45748</v>
      </c>
      <c r="C89" s="3" t="s">
        <v>27</v>
      </c>
      <c r="D89" s="3" t="s">
        <v>18</v>
      </c>
      <c r="E89" s="3">
        <v>18996.32</v>
      </c>
      <c r="F89" s="3">
        <v>1260</v>
      </c>
      <c r="G89" s="3">
        <v>0.14499999999999999</v>
      </c>
      <c r="H89" s="3">
        <v>9</v>
      </c>
      <c r="I89" s="3">
        <v>86.4</v>
      </c>
      <c r="J89" s="3">
        <v>4.3099999999999996</v>
      </c>
      <c r="K89" s="3">
        <v>0</v>
      </c>
      <c r="L89" s="3">
        <v>4.5999999999999996</v>
      </c>
      <c r="M89" s="3">
        <v>450711.92</v>
      </c>
      <c r="N89" s="3">
        <v>90043.76</v>
      </c>
    </row>
    <row r="90" spans="1:14">
      <c r="A90" s="3" t="s">
        <v>44</v>
      </c>
      <c r="B90" s="4">
        <v>45658</v>
      </c>
      <c r="C90" s="3" t="s">
        <v>24</v>
      </c>
      <c r="D90" s="3" t="s">
        <v>28</v>
      </c>
      <c r="E90" s="3">
        <v>50517.94</v>
      </c>
      <c r="F90" s="3">
        <v>7024</v>
      </c>
      <c r="G90" s="3">
        <v>2.9000000000000001E-2</v>
      </c>
      <c r="H90" s="3">
        <v>18</v>
      </c>
      <c r="I90" s="3">
        <v>79.2</v>
      </c>
      <c r="J90" s="3">
        <v>6.61</v>
      </c>
      <c r="K90" s="3">
        <v>1</v>
      </c>
      <c r="L90" s="3">
        <v>4.0999999999999996</v>
      </c>
      <c r="M90" s="3">
        <v>711213.46</v>
      </c>
      <c r="N90" s="3">
        <v>105863.26</v>
      </c>
    </row>
    <row r="91" spans="1:14">
      <c r="A91" s="3" t="s">
        <v>44</v>
      </c>
      <c r="B91" s="4">
        <v>45689</v>
      </c>
      <c r="C91" s="3" t="s">
        <v>24</v>
      </c>
      <c r="D91" s="3" t="s">
        <v>28</v>
      </c>
      <c r="E91" s="3">
        <v>141540.29</v>
      </c>
      <c r="F91" s="3">
        <v>5400</v>
      </c>
      <c r="G91" s="3">
        <v>1.2999999999999999E-2</v>
      </c>
      <c r="H91" s="3">
        <v>12</v>
      </c>
      <c r="I91" s="3">
        <v>87</v>
      </c>
      <c r="J91" s="3">
        <v>4.26</v>
      </c>
      <c r="K91" s="3">
        <v>0</v>
      </c>
      <c r="L91" s="3">
        <v>4.5</v>
      </c>
      <c r="M91" s="3">
        <v>627171.9</v>
      </c>
      <c r="N91" s="3">
        <v>105772.75</v>
      </c>
    </row>
    <row r="92" spans="1:14">
      <c r="A92" s="3" t="s">
        <v>44</v>
      </c>
      <c r="B92" s="4">
        <v>45717</v>
      </c>
      <c r="C92" s="3" t="s">
        <v>24</v>
      </c>
      <c r="D92" s="3" t="s">
        <v>28</v>
      </c>
      <c r="E92" s="3">
        <v>82116.19</v>
      </c>
      <c r="F92" s="3">
        <v>5988</v>
      </c>
      <c r="G92" s="3">
        <v>0.04</v>
      </c>
      <c r="H92" s="3">
        <v>17</v>
      </c>
      <c r="I92" s="3">
        <v>91.8</v>
      </c>
      <c r="J92" s="3">
        <v>5.75</v>
      </c>
      <c r="K92" s="3">
        <v>0</v>
      </c>
      <c r="L92" s="3">
        <v>4.7</v>
      </c>
      <c r="M92" s="3">
        <v>739852.58</v>
      </c>
      <c r="N92" s="3">
        <v>129386.43</v>
      </c>
    </row>
    <row r="93" spans="1:14">
      <c r="A93" s="3" t="s">
        <v>44</v>
      </c>
      <c r="B93" s="4">
        <v>45748</v>
      </c>
      <c r="C93" s="3" t="s">
        <v>24</v>
      </c>
      <c r="D93" s="3" t="s">
        <v>28</v>
      </c>
      <c r="E93" s="3">
        <v>31207.51</v>
      </c>
      <c r="F93" s="3">
        <v>3701</v>
      </c>
      <c r="G93" s="3">
        <v>4.2999999999999997E-2</v>
      </c>
      <c r="H93" s="3">
        <v>11</v>
      </c>
      <c r="I93" s="3">
        <v>84.7</v>
      </c>
      <c r="J93" s="3">
        <v>0.33</v>
      </c>
      <c r="K93" s="3">
        <v>0</v>
      </c>
      <c r="L93" s="3">
        <v>4.3</v>
      </c>
      <c r="M93" s="3">
        <v>586307.22</v>
      </c>
      <c r="N93" s="3">
        <v>73927.850000000006</v>
      </c>
    </row>
    <row r="94" spans="1:14">
      <c r="A94" s="3" t="s">
        <v>45</v>
      </c>
      <c r="B94" s="4">
        <v>45658</v>
      </c>
      <c r="C94" s="3" t="s">
        <v>27</v>
      </c>
      <c r="D94" s="3" t="s">
        <v>16</v>
      </c>
      <c r="E94" s="3">
        <v>38966.589999999997</v>
      </c>
      <c r="F94" s="3">
        <v>4509</v>
      </c>
      <c r="G94" s="3">
        <v>0.19400000000000001</v>
      </c>
      <c r="H94" s="3">
        <v>14</v>
      </c>
      <c r="I94" s="3">
        <v>91.1</v>
      </c>
      <c r="J94" s="3">
        <v>2.92</v>
      </c>
      <c r="K94" s="3">
        <v>0</v>
      </c>
      <c r="L94" s="3">
        <v>4.5999999999999996</v>
      </c>
      <c r="M94" s="3">
        <v>585937.48</v>
      </c>
      <c r="N94" s="3">
        <v>82624.2</v>
      </c>
    </row>
    <row r="95" spans="1:14">
      <c r="A95" s="3" t="s">
        <v>45</v>
      </c>
      <c r="B95" s="4">
        <v>45689</v>
      </c>
      <c r="C95" s="3" t="s">
        <v>27</v>
      </c>
      <c r="D95" s="3" t="s">
        <v>16</v>
      </c>
      <c r="E95" s="3">
        <v>67439.3</v>
      </c>
      <c r="F95" s="3">
        <v>6477</v>
      </c>
      <c r="G95" s="3">
        <v>0</v>
      </c>
      <c r="H95" s="3">
        <v>16</v>
      </c>
      <c r="I95" s="3">
        <v>90.9</v>
      </c>
      <c r="J95" s="3">
        <v>1.64</v>
      </c>
      <c r="K95" s="3">
        <v>0</v>
      </c>
      <c r="L95" s="3">
        <v>4.5</v>
      </c>
      <c r="M95" s="3">
        <v>753473.55</v>
      </c>
      <c r="N95" s="3">
        <v>151527.22</v>
      </c>
    </row>
    <row r="96" spans="1:14">
      <c r="A96" s="3" t="s">
        <v>45</v>
      </c>
      <c r="B96" s="4">
        <v>45717</v>
      </c>
      <c r="C96" s="3" t="s">
        <v>27</v>
      </c>
      <c r="D96" s="3" t="s">
        <v>16</v>
      </c>
      <c r="E96" s="3">
        <v>86421.88</v>
      </c>
      <c r="F96" s="3">
        <v>7970</v>
      </c>
      <c r="G96" s="3">
        <v>7.2999999999999995E-2</v>
      </c>
      <c r="H96" s="3">
        <v>17</v>
      </c>
      <c r="I96" s="3">
        <v>91.3</v>
      </c>
      <c r="J96" s="3">
        <v>0.8</v>
      </c>
      <c r="K96" s="3">
        <v>0</v>
      </c>
      <c r="L96" s="3">
        <v>5</v>
      </c>
      <c r="M96" s="3">
        <v>838250.32</v>
      </c>
      <c r="N96" s="3">
        <v>122939.34</v>
      </c>
    </row>
    <row r="97" spans="1:14">
      <c r="A97" s="3" t="s">
        <v>45</v>
      </c>
      <c r="B97" s="4">
        <v>45748</v>
      </c>
      <c r="C97" s="3" t="s">
        <v>27</v>
      </c>
      <c r="D97" s="3" t="s">
        <v>16</v>
      </c>
      <c r="E97" s="3">
        <v>9534.65</v>
      </c>
      <c r="F97" s="3">
        <v>6057</v>
      </c>
      <c r="G97" s="3">
        <v>7.3999999999999996E-2</v>
      </c>
      <c r="H97" s="3">
        <v>15</v>
      </c>
      <c r="I97" s="3">
        <v>94.1</v>
      </c>
      <c r="J97" s="3">
        <v>5.79</v>
      </c>
      <c r="K97" s="3">
        <v>0</v>
      </c>
      <c r="L97" s="3">
        <v>4.5</v>
      </c>
      <c r="M97" s="3">
        <v>607898.12</v>
      </c>
      <c r="N97" s="3">
        <v>135404.85</v>
      </c>
    </row>
    <row r="98" spans="1:14">
      <c r="A98" s="3" t="s">
        <v>46</v>
      </c>
      <c r="B98" s="4">
        <v>45658</v>
      </c>
      <c r="C98" s="3" t="s">
        <v>27</v>
      </c>
      <c r="D98" s="3" t="s">
        <v>28</v>
      </c>
      <c r="E98" s="3">
        <v>61132.07</v>
      </c>
      <c r="F98" s="3">
        <v>6394</v>
      </c>
      <c r="G98" s="3">
        <v>0.16300000000000001</v>
      </c>
      <c r="H98" s="3">
        <v>19</v>
      </c>
      <c r="I98" s="3">
        <v>91</v>
      </c>
      <c r="J98" s="3">
        <v>19.600000000000001</v>
      </c>
      <c r="K98" s="3">
        <v>0</v>
      </c>
      <c r="L98" s="3">
        <v>4.4000000000000004</v>
      </c>
      <c r="M98" s="3">
        <v>691113.62</v>
      </c>
      <c r="N98" s="3">
        <v>135145.44</v>
      </c>
    </row>
    <row r="99" spans="1:14">
      <c r="A99" s="3" t="s">
        <v>46</v>
      </c>
      <c r="B99" s="4">
        <v>45689</v>
      </c>
      <c r="C99" s="3" t="s">
        <v>27</v>
      </c>
      <c r="D99" s="3" t="s">
        <v>28</v>
      </c>
      <c r="E99" s="3">
        <v>78839.39</v>
      </c>
      <c r="F99" s="3">
        <v>5150</v>
      </c>
      <c r="G99" s="3">
        <v>0.17100000000000001</v>
      </c>
      <c r="H99" s="3">
        <v>13</v>
      </c>
      <c r="I99" s="3">
        <v>85.8</v>
      </c>
      <c r="J99" s="3">
        <v>7.57</v>
      </c>
      <c r="K99" s="3">
        <v>0</v>
      </c>
      <c r="L99" s="3">
        <v>4.3</v>
      </c>
      <c r="M99" s="3">
        <v>735509.4</v>
      </c>
      <c r="N99" s="3">
        <v>83895.96</v>
      </c>
    </row>
    <row r="100" spans="1:14">
      <c r="A100" s="3" t="s">
        <v>46</v>
      </c>
      <c r="B100" s="4">
        <v>45717</v>
      </c>
      <c r="C100" s="3" t="s">
        <v>27</v>
      </c>
      <c r="D100" s="3" t="s">
        <v>28</v>
      </c>
      <c r="E100" s="3">
        <v>38752.800000000003</v>
      </c>
      <c r="F100" s="3">
        <v>4712</v>
      </c>
      <c r="G100" s="3">
        <v>7.4999999999999997E-2</v>
      </c>
      <c r="H100" s="3">
        <v>15</v>
      </c>
      <c r="I100" s="3">
        <v>89.7</v>
      </c>
      <c r="J100" s="5">
        <v>4.5599999999999996</v>
      </c>
      <c r="K100" s="3">
        <v>0</v>
      </c>
      <c r="L100" s="3">
        <v>4.3</v>
      </c>
      <c r="M100" s="3">
        <v>605775.32999999996</v>
      </c>
      <c r="N100" s="3">
        <v>107194.6</v>
      </c>
    </row>
    <row r="101" spans="1:14">
      <c r="A101" s="3" t="s">
        <v>46</v>
      </c>
      <c r="B101" s="4">
        <v>45748</v>
      </c>
      <c r="C101" s="3" t="s">
        <v>27</v>
      </c>
      <c r="D101" s="3" t="s">
        <v>28</v>
      </c>
      <c r="E101" s="3">
        <v>55101.1</v>
      </c>
      <c r="F101" s="3">
        <v>5281</v>
      </c>
      <c r="G101" s="3">
        <v>0.189</v>
      </c>
      <c r="H101" s="3">
        <v>11</v>
      </c>
      <c r="I101" s="3">
        <v>91</v>
      </c>
      <c r="J101" s="3">
        <v>2.7</v>
      </c>
      <c r="K101" s="3">
        <v>0</v>
      </c>
      <c r="L101" s="3">
        <v>4.4000000000000004</v>
      </c>
      <c r="M101" s="3">
        <v>675177.68</v>
      </c>
      <c r="N101" s="3">
        <v>105628.68</v>
      </c>
    </row>
    <row r="102" spans="1:14">
      <c r="A102" s="3" t="s">
        <v>47</v>
      </c>
      <c r="B102" s="4">
        <v>45658</v>
      </c>
      <c r="C102" s="3" t="s">
        <v>15</v>
      </c>
      <c r="D102" s="3" t="s">
        <v>28</v>
      </c>
      <c r="E102" s="3">
        <v>53084.76</v>
      </c>
      <c r="F102" s="3">
        <v>3642</v>
      </c>
      <c r="G102" s="3">
        <v>0.15</v>
      </c>
      <c r="H102" s="3">
        <v>12</v>
      </c>
      <c r="I102" s="3">
        <v>91.4</v>
      </c>
      <c r="J102" s="3">
        <v>0.2</v>
      </c>
      <c r="K102" s="3">
        <v>0</v>
      </c>
      <c r="L102" s="3">
        <v>4.4000000000000004</v>
      </c>
      <c r="M102" s="3">
        <v>635181.35</v>
      </c>
      <c r="N102" s="3">
        <v>83341.25</v>
      </c>
    </row>
    <row r="103" spans="1:14">
      <c r="A103" s="3" t="s">
        <v>47</v>
      </c>
      <c r="B103" s="4">
        <v>45689</v>
      </c>
      <c r="C103" s="3" t="s">
        <v>15</v>
      </c>
      <c r="D103" s="3" t="s">
        <v>28</v>
      </c>
      <c r="E103" s="3">
        <v>63101.59</v>
      </c>
      <c r="F103" s="3">
        <v>4373</v>
      </c>
      <c r="G103" s="3">
        <v>0.17299999999999999</v>
      </c>
      <c r="H103" s="3">
        <v>14</v>
      </c>
      <c r="I103" s="3">
        <v>90.4</v>
      </c>
      <c r="J103" s="3">
        <v>7.87</v>
      </c>
      <c r="K103" s="3">
        <v>0</v>
      </c>
      <c r="L103" s="3">
        <v>4.7</v>
      </c>
      <c r="M103" s="3">
        <v>586626.93999999994</v>
      </c>
      <c r="N103" s="3">
        <v>86498.55</v>
      </c>
    </row>
    <row r="104" spans="1:14">
      <c r="A104" s="3" t="s">
        <v>47</v>
      </c>
      <c r="B104" s="4">
        <v>45717</v>
      </c>
      <c r="C104" s="3" t="s">
        <v>15</v>
      </c>
      <c r="D104" s="3" t="s">
        <v>28</v>
      </c>
      <c r="E104" s="3">
        <v>90084.4</v>
      </c>
      <c r="F104" s="3">
        <v>6832</v>
      </c>
      <c r="G104" s="3">
        <v>0.185</v>
      </c>
      <c r="H104" s="3">
        <v>14</v>
      </c>
      <c r="I104" s="3">
        <v>80.5</v>
      </c>
      <c r="J104" s="3">
        <v>0.77</v>
      </c>
      <c r="K104" s="3">
        <v>1</v>
      </c>
      <c r="L104" s="3">
        <v>4.4000000000000004</v>
      </c>
      <c r="M104" s="3">
        <v>740102.64</v>
      </c>
      <c r="N104" s="3">
        <v>114299.07</v>
      </c>
    </row>
    <row r="105" spans="1:14">
      <c r="A105" s="3" t="s">
        <v>47</v>
      </c>
      <c r="B105" s="4">
        <v>45748</v>
      </c>
      <c r="C105" s="3" t="s">
        <v>15</v>
      </c>
      <c r="D105" s="3" t="s">
        <v>28</v>
      </c>
      <c r="E105" s="3">
        <v>32266.639999999999</v>
      </c>
      <c r="F105" s="3">
        <v>2414</v>
      </c>
      <c r="G105" s="3">
        <v>0.08</v>
      </c>
      <c r="H105" s="3">
        <v>7</v>
      </c>
      <c r="I105" s="3">
        <v>92.1</v>
      </c>
      <c r="J105" s="3">
        <v>1.48</v>
      </c>
      <c r="K105" s="3">
        <v>0</v>
      </c>
      <c r="L105" s="3">
        <v>5</v>
      </c>
      <c r="M105" s="3">
        <v>625514.04</v>
      </c>
      <c r="N105" s="3">
        <v>120685.08</v>
      </c>
    </row>
    <row r="106" spans="1:14">
      <c r="A106" s="3" t="s">
        <v>48</v>
      </c>
      <c r="B106" s="4">
        <v>45658</v>
      </c>
      <c r="C106" s="3" t="s">
        <v>27</v>
      </c>
      <c r="D106" s="3" t="s">
        <v>18</v>
      </c>
      <c r="E106" s="3">
        <v>57919.07</v>
      </c>
      <c r="F106" s="3">
        <v>7374</v>
      </c>
      <c r="G106" s="3">
        <v>0.10299999999999999</v>
      </c>
      <c r="H106" s="3">
        <v>21</v>
      </c>
      <c r="I106" s="3">
        <v>82.3</v>
      </c>
      <c r="J106" s="3">
        <v>2.87</v>
      </c>
      <c r="K106" s="3">
        <v>0</v>
      </c>
      <c r="L106" s="3">
        <v>2.9</v>
      </c>
      <c r="M106" s="3">
        <v>727227.2</v>
      </c>
      <c r="N106" s="3">
        <v>121292.01</v>
      </c>
    </row>
    <row r="107" spans="1:14">
      <c r="A107" s="3" t="s">
        <v>48</v>
      </c>
      <c r="B107" s="4">
        <v>45689</v>
      </c>
      <c r="C107" s="3" t="s">
        <v>27</v>
      </c>
      <c r="D107" s="3" t="s">
        <v>18</v>
      </c>
      <c r="E107" s="3">
        <v>74679.350000000006</v>
      </c>
      <c r="F107" s="3">
        <v>8739</v>
      </c>
      <c r="G107" s="3">
        <v>5.6000000000000001E-2</v>
      </c>
      <c r="H107" s="3">
        <v>21</v>
      </c>
      <c r="I107" s="3">
        <v>91.8</v>
      </c>
      <c r="J107" s="3">
        <v>2.83</v>
      </c>
      <c r="K107" s="3">
        <v>0</v>
      </c>
      <c r="L107" s="3">
        <v>3</v>
      </c>
      <c r="M107" s="3">
        <v>783797.89</v>
      </c>
      <c r="N107" s="3">
        <v>157620.70000000001</v>
      </c>
    </row>
    <row r="108" spans="1:14">
      <c r="A108" s="3" t="s">
        <v>48</v>
      </c>
      <c r="B108" s="4">
        <v>45717</v>
      </c>
      <c r="C108" s="3" t="s">
        <v>27</v>
      </c>
      <c r="D108" s="3" t="s">
        <v>18</v>
      </c>
      <c r="E108" s="3">
        <v>64294.23</v>
      </c>
      <c r="F108" s="3">
        <v>6992</v>
      </c>
      <c r="G108" s="3">
        <v>0.13300000000000001</v>
      </c>
      <c r="H108" s="3">
        <v>14</v>
      </c>
      <c r="I108" s="3">
        <v>94.1</v>
      </c>
      <c r="J108" s="3">
        <v>0.25</v>
      </c>
      <c r="K108" s="3">
        <v>0</v>
      </c>
      <c r="L108" s="3">
        <v>3</v>
      </c>
      <c r="M108" s="3">
        <v>795153.84</v>
      </c>
      <c r="N108" s="3">
        <v>143194.21</v>
      </c>
    </row>
    <row r="109" spans="1:14">
      <c r="A109" s="3" t="s">
        <v>48</v>
      </c>
      <c r="B109" s="4">
        <v>45748</v>
      </c>
      <c r="C109" s="3" t="s">
        <v>27</v>
      </c>
      <c r="D109" s="3" t="s">
        <v>18</v>
      </c>
      <c r="E109" s="3">
        <v>31042.03</v>
      </c>
      <c r="F109" s="3">
        <v>7107</v>
      </c>
      <c r="G109" s="3">
        <v>5.0999999999999997E-2</v>
      </c>
      <c r="H109" s="3">
        <v>15</v>
      </c>
      <c r="I109" s="3">
        <v>87</v>
      </c>
      <c r="J109" s="3">
        <v>13.33</v>
      </c>
      <c r="K109" s="3">
        <v>0</v>
      </c>
      <c r="L109" s="3">
        <v>3.2</v>
      </c>
      <c r="M109" s="3">
        <v>665594.93999999994</v>
      </c>
      <c r="N109" s="3">
        <v>127597.34</v>
      </c>
    </row>
    <row r="110" spans="1:14">
      <c r="A110" s="3" t="s">
        <v>49</v>
      </c>
      <c r="B110" s="4">
        <v>45658</v>
      </c>
      <c r="C110" s="3" t="s">
        <v>15</v>
      </c>
      <c r="D110" s="3" t="s">
        <v>28</v>
      </c>
      <c r="E110" s="3">
        <v>75265.02</v>
      </c>
      <c r="F110" s="3">
        <v>6975</v>
      </c>
      <c r="G110" s="3">
        <v>0.157</v>
      </c>
      <c r="H110" s="3">
        <v>20</v>
      </c>
      <c r="I110" s="3">
        <v>73.8</v>
      </c>
      <c r="J110" s="3">
        <v>6.35</v>
      </c>
      <c r="K110" s="3">
        <v>1</v>
      </c>
      <c r="L110" s="3">
        <v>3.8</v>
      </c>
      <c r="M110" s="3">
        <v>709478.39</v>
      </c>
      <c r="N110" s="3">
        <v>71294.27</v>
      </c>
    </row>
    <row r="111" spans="1:14">
      <c r="A111" s="3" t="s">
        <v>49</v>
      </c>
      <c r="B111" s="4">
        <v>45689</v>
      </c>
      <c r="C111" s="3" t="s">
        <v>15</v>
      </c>
      <c r="D111" s="3" t="s">
        <v>28</v>
      </c>
      <c r="E111" s="3">
        <v>69411.7</v>
      </c>
      <c r="F111" s="3">
        <v>5493</v>
      </c>
      <c r="G111" s="3">
        <v>0.29199999999999998</v>
      </c>
      <c r="H111" s="3">
        <v>13</v>
      </c>
      <c r="I111" s="3">
        <v>86.5</v>
      </c>
      <c r="J111" s="3">
        <v>6.69</v>
      </c>
      <c r="K111" s="3">
        <v>0</v>
      </c>
      <c r="L111" s="3">
        <v>3.8</v>
      </c>
      <c r="M111" s="3">
        <v>664162.49</v>
      </c>
      <c r="N111" s="3">
        <v>98291.06</v>
      </c>
    </row>
    <row r="112" spans="1:14">
      <c r="A112" s="3" t="s">
        <v>49</v>
      </c>
      <c r="B112" s="4">
        <v>45717</v>
      </c>
      <c r="C112" s="3" t="s">
        <v>15</v>
      </c>
      <c r="D112" s="3" t="s">
        <v>28</v>
      </c>
      <c r="E112" s="3">
        <v>51056.15</v>
      </c>
      <c r="F112" s="3">
        <v>5686</v>
      </c>
      <c r="G112" s="3">
        <v>8.8999999999999996E-2</v>
      </c>
      <c r="H112" s="3">
        <v>13</v>
      </c>
      <c r="I112" s="3">
        <v>89.9</v>
      </c>
      <c r="J112" s="3">
        <v>1.28</v>
      </c>
      <c r="K112" s="3">
        <v>0</v>
      </c>
      <c r="L112" s="3">
        <v>4.2</v>
      </c>
      <c r="M112" s="3">
        <v>633494.21</v>
      </c>
      <c r="N112" s="3">
        <v>105739.47</v>
      </c>
    </row>
    <row r="113" spans="1:14">
      <c r="A113" s="3" t="s">
        <v>49</v>
      </c>
      <c r="B113" s="4">
        <v>45748</v>
      </c>
      <c r="C113" s="3" t="s">
        <v>15</v>
      </c>
      <c r="D113" s="3" t="s">
        <v>28</v>
      </c>
      <c r="E113" s="3">
        <v>52758.01</v>
      </c>
      <c r="F113" s="3">
        <v>4063</v>
      </c>
      <c r="G113" s="3">
        <v>5.7000000000000002E-2</v>
      </c>
      <c r="H113" s="3">
        <v>12</v>
      </c>
      <c r="I113" s="3">
        <v>91.7</v>
      </c>
      <c r="J113" s="3">
        <v>0.92</v>
      </c>
      <c r="K113" s="3">
        <v>0</v>
      </c>
      <c r="L113" s="3">
        <v>3.5</v>
      </c>
      <c r="M113" s="3">
        <v>713611.16</v>
      </c>
      <c r="N113" s="3">
        <v>129717.18</v>
      </c>
    </row>
    <row r="114" spans="1:14">
      <c r="A114" s="3" t="s">
        <v>50</v>
      </c>
      <c r="B114" s="4">
        <v>45658</v>
      </c>
      <c r="C114" s="3" t="s">
        <v>27</v>
      </c>
      <c r="D114" s="3" t="s">
        <v>28</v>
      </c>
      <c r="E114" s="3">
        <v>61426.04</v>
      </c>
      <c r="F114" s="3">
        <v>8966</v>
      </c>
      <c r="G114" s="3">
        <v>0.17299999999999999</v>
      </c>
      <c r="H114" s="3">
        <v>22</v>
      </c>
      <c r="I114" s="3">
        <v>76.400000000000006</v>
      </c>
      <c r="J114" s="3">
        <v>1.05</v>
      </c>
      <c r="K114" s="3">
        <v>0</v>
      </c>
      <c r="L114" s="3">
        <v>3.1</v>
      </c>
      <c r="M114" s="3">
        <v>778397.97</v>
      </c>
      <c r="N114" s="3">
        <v>120044.41</v>
      </c>
    </row>
    <row r="115" spans="1:14">
      <c r="A115" s="3" t="s">
        <v>50</v>
      </c>
      <c r="B115" s="4">
        <v>45689</v>
      </c>
      <c r="C115" s="3" t="s">
        <v>27</v>
      </c>
      <c r="D115" s="3" t="s">
        <v>28</v>
      </c>
      <c r="E115" s="3">
        <v>80176.34</v>
      </c>
      <c r="F115" s="3">
        <v>9489</v>
      </c>
      <c r="G115" s="3">
        <v>0.14199999999999999</v>
      </c>
      <c r="H115" s="3">
        <v>22</v>
      </c>
      <c r="I115" s="3">
        <v>94.3</v>
      </c>
      <c r="J115" s="3">
        <v>2.67</v>
      </c>
      <c r="K115" s="3">
        <v>0</v>
      </c>
      <c r="L115" s="3">
        <v>3.5</v>
      </c>
      <c r="M115" s="3">
        <v>873380.02</v>
      </c>
      <c r="N115" s="3">
        <v>149734.76</v>
      </c>
    </row>
    <row r="116" spans="1:14">
      <c r="A116" s="3" t="s">
        <v>50</v>
      </c>
      <c r="B116" s="4">
        <v>45717</v>
      </c>
      <c r="C116" s="3" t="s">
        <v>27</v>
      </c>
      <c r="D116" s="3" t="s">
        <v>28</v>
      </c>
      <c r="E116" s="3">
        <v>33605.18</v>
      </c>
      <c r="F116" s="3">
        <v>9225</v>
      </c>
      <c r="G116" s="3">
        <v>0.159</v>
      </c>
      <c r="H116" s="3">
        <v>23</v>
      </c>
      <c r="I116" s="3">
        <v>88.4</v>
      </c>
      <c r="J116" s="3">
        <v>5.91</v>
      </c>
      <c r="K116" s="3">
        <v>0</v>
      </c>
      <c r="L116" s="3">
        <v>2.8</v>
      </c>
      <c r="M116" s="3">
        <v>697287.9</v>
      </c>
      <c r="N116" s="3">
        <v>128208.33</v>
      </c>
    </row>
    <row r="117" spans="1:14">
      <c r="A117" s="3" t="s">
        <v>50</v>
      </c>
      <c r="B117" s="4">
        <v>45748</v>
      </c>
      <c r="C117" s="3" t="s">
        <v>27</v>
      </c>
      <c r="D117" s="3" t="s">
        <v>28</v>
      </c>
      <c r="E117" s="3">
        <v>25990.54</v>
      </c>
      <c r="F117" s="3">
        <v>9249</v>
      </c>
      <c r="G117" s="3">
        <v>0.13900000000000001</v>
      </c>
      <c r="H117" s="3">
        <v>23</v>
      </c>
      <c r="I117" s="3">
        <v>92.5</v>
      </c>
      <c r="J117" s="3">
        <v>6.37</v>
      </c>
      <c r="K117" s="3">
        <v>0</v>
      </c>
      <c r="L117" s="3">
        <v>3.3</v>
      </c>
      <c r="M117" s="3">
        <v>718074.79</v>
      </c>
      <c r="N117" s="3">
        <v>115819.87</v>
      </c>
    </row>
    <row r="118" spans="1:14">
      <c r="A118" s="3" t="s">
        <v>51</v>
      </c>
      <c r="B118" s="4">
        <v>45658</v>
      </c>
      <c r="C118" s="3" t="s">
        <v>27</v>
      </c>
      <c r="D118" s="3" t="s">
        <v>16</v>
      </c>
      <c r="E118" s="3">
        <v>43685.14</v>
      </c>
      <c r="F118" s="3">
        <v>7821</v>
      </c>
      <c r="G118" s="3">
        <v>0.19</v>
      </c>
      <c r="H118" s="3">
        <v>17</v>
      </c>
      <c r="I118" s="3">
        <v>91</v>
      </c>
      <c r="J118" s="3">
        <v>2.4900000000000002</v>
      </c>
      <c r="K118" s="3">
        <v>1</v>
      </c>
      <c r="L118" s="3">
        <v>4.7</v>
      </c>
      <c r="M118" s="3">
        <v>714942.43</v>
      </c>
      <c r="N118" s="3">
        <v>94697.71</v>
      </c>
    </row>
    <row r="119" spans="1:14">
      <c r="A119" s="3" t="s">
        <v>51</v>
      </c>
      <c r="B119" s="4">
        <v>45689</v>
      </c>
      <c r="C119" s="3" t="s">
        <v>27</v>
      </c>
      <c r="D119" s="3" t="s">
        <v>16</v>
      </c>
      <c r="E119" s="3">
        <v>57360.01</v>
      </c>
      <c r="F119" s="3">
        <v>8434</v>
      </c>
      <c r="G119" s="3">
        <v>0.151</v>
      </c>
      <c r="H119" s="3">
        <v>19</v>
      </c>
      <c r="I119" s="3">
        <v>84.1</v>
      </c>
      <c r="J119" s="3">
        <v>1.56</v>
      </c>
      <c r="K119" s="3">
        <v>0</v>
      </c>
      <c r="L119" s="3">
        <v>4.7</v>
      </c>
      <c r="M119" s="3">
        <v>820519.04</v>
      </c>
      <c r="N119" s="3">
        <v>99035.88</v>
      </c>
    </row>
    <row r="120" spans="1:14">
      <c r="A120" s="3" t="s">
        <v>51</v>
      </c>
      <c r="B120" s="4">
        <v>45717</v>
      </c>
      <c r="C120" s="3" t="s">
        <v>27</v>
      </c>
      <c r="D120" s="3" t="s">
        <v>16</v>
      </c>
      <c r="E120" s="3">
        <v>42415.47</v>
      </c>
      <c r="F120" s="3">
        <v>8512</v>
      </c>
      <c r="G120" s="3">
        <v>0.13300000000000001</v>
      </c>
      <c r="H120" s="3">
        <v>18</v>
      </c>
      <c r="I120" s="3">
        <v>96.8</v>
      </c>
      <c r="J120" s="3">
        <v>14.95</v>
      </c>
      <c r="K120" s="3">
        <v>0</v>
      </c>
      <c r="L120" s="3">
        <v>4.5999999999999996</v>
      </c>
      <c r="M120" s="3">
        <v>684217.32</v>
      </c>
      <c r="N120" s="3">
        <v>136217.19</v>
      </c>
    </row>
    <row r="121" spans="1:14">
      <c r="A121" s="3" t="s">
        <v>51</v>
      </c>
      <c r="B121" s="4">
        <v>45748</v>
      </c>
      <c r="C121" s="3" t="s">
        <v>27</v>
      </c>
      <c r="D121" s="3" t="s">
        <v>16</v>
      </c>
      <c r="E121" s="3">
        <v>54968.98</v>
      </c>
      <c r="F121" s="3">
        <v>7816</v>
      </c>
      <c r="G121" s="3">
        <v>0.23200000000000001</v>
      </c>
      <c r="H121" s="3">
        <v>19</v>
      </c>
      <c r="I121" s="3">
        <v>95.7</v>
      </c>
      <c r="J121" s="3">
        <v>7.85</v>
      </c>
      <c r="K121" s="3">
        <v>0</v>
      </c>
      <c r="L121" s="3">
        <v>4.7</v>
      </c>
      <c r="M121" s="3">
        <v>735480.19</v>
      </c>
      <c r="N121" s="3">
        <v>88342.11</v>
      </c>
    </row>
    <row r="122" spans="1:14">
      <c r="A122" s="3" t="s">
        <v>52</v>
      </c>
      <c r="B122" s="4">
        <v>45658</v>
      </c>
      <c r="C122" s="3" t="s">
        <v>20</v>
      </c>
      <c r="D122" s="3" t="s">
        <v>18</v>
      </c>
      <c r="E122" s="3">
        <v>43896.13</v>
      </c>
      <c r="F122" s="3">
        <v>3853</v>
      </c>
      <c r="G122" s="3">
        <v>8.7999999999999995E-2</v>
      </c>
      <c r="H122" s="3">
        <v>13</v>
      </c>
      <c r="I122" s="3">
        <v>83</v>
      </c>
      <c r="J122" s="3">
        <v>6.8</v>
      </c>
      <c r="K122" s="3">
        <v>0</v>
      </c>
      <c r="L122" s="3">
        <v>4.4000000000000004</v>
      </c>
      <c r="M122" s="3">
        <v>509484.81</v>
      </c>
      <c r="N122" s="3">
        <v>85742.36</v>
      </c>
    </row>
    <row r="123" spans="1:14">
      <c r="A123" s="3" t="s">
        <v>52</v>
      </c>
      <c r="B123" s="4">
        <v>45689</v>
      </c>
      <c r="C123" s="3" t="s">
        <v>20</v>
      </c>
      <c r="D123" s="3" t="s">
        <v>18</v>
      </c>
      <c r="E123" s="3">
        <v>83044.17</v>
      </c>
      <c r="F123" s="3">
        <v>3694</v>
      </c>
      <c r="G123" s="3">
        <v>0</v>
      </c>
      <c r="H123" s="3">
        <v>14</v>
      </c>
      <c r="I123" s="3">
        <v>89.4</v>
      </c>
      <c r="J123" s="3">
        <v>2.2000000000000002</v>
      </c>
      <c r="K123" s="3">
        <v>0</v>
      </c>
      <c r="L123" s="3">
        <v>3.7</v>
      </c>
      <c r="M123" s="3">
        <v>654317.09</v>
      </c>
      <c r="N123" s="3">
        <v>121446.89</v>
      </c>
    </row>
    <row r="124" spans="1:14">
      <c r="A124" s="3" t="s">
        <v>52</v>
      </c>
      <c r="B124" s="4">
        <v>45717</v>
      </c>
      <c r="C124" s="3" t="s">
        <v>20</v>
      </c>
      <c r="D124" s="3" t="s">
        <v>18</v>
      </c>
      <c r="E124" s="3">
        <v>48396.13</v>
      </c>
      <c r="F124" s="3">
        <v>4423</v>
      </c>
      <c r="G124" s="3">
        <v>6.9000000000000006E-2</v>
      </c>
      <c r="H124" s="3">
        <v>15</v>
      </c>
      <c r="I124" s="3">
        <v>85.7</v>
      </c>
      <c r="J124" s="3">
        <v>1.88</v>
      </c>
      <c r="K124" s="3">
        <v>0</v>
      </c>
      <c r="L124" s="3">
        <v>3.9</v>
      </c>
      <c r="M124" s="3">
        <v>557487.26</v>
      </c>
      <c r="N124" s="3">
        <v>76432.19</v>
      </c>
    </row>
    <row r="125" spans="1:14">
      <c r="A125" s="3" t="s">
        <v>52</v>
      </c>
      <c r="B125" s="4">
        <v>45748</v>
      </c>
      <c r="C125" s="3" t="s">
        <v>20</v>
      </c>
      <c r="D125" s="3" t="s">
        <v>18</v>
      </c>
      <c r="E125" s="3">
        <v>19063.48</v>
      </c>
      <c r="F125" s="3">
        <v>1906</v>
      </c>
      <c r="G125" s="3">
        <v>0.216</v>
      </c>
      <c r="H125" s="3">
        <v>10</v>
      </c>
      <c r="I125" s="3">
        <v>97.8</v>
      </c>
      <c r="J125" s="3">
        <v>15.79</v>
      </c>
      <c r="K125" s="3">
        <v>0</v>
      </c>
      <c r="L125" s="3">
        <v>4.4000000000000004</v>
      </c>
      <c r="M125" s="3">
        <v>441275.42</v>
      </c>
      <c r="N125" s="3">
        <v>58234.87</v>
      </c>
    </row>
    <row r="126" spans="1:14">
      <c r="A126" s="3" t="s">
        <v>53</v>
      </c>
      <c r="B126" s="4">
        <v>45658</v>
      </c>
      <c r="C126" s="3" t="s">
        <v>24</v>
      </c>
      <c r="D126" s="3" t="s">
        <v>18</v>
      </c>
      <c r="E126" s="3">
        <v>61541.21</v>
      </c>
      <c r="F126" s="3">
        <v>10396</v>
      </c>
      <c r="G126" s="3">
        <v>0.123</v>
      </c>
      <c r="H126" s="3">
        <v>25</v>
      </c>
      <c r="I126" s="3">
        <v>88.1</v>
      </c>
      <c r="J126" s="3">
        <v>2.34</v>
      </c>
      <c r="K126" s="3">
        <v>1</v>
      </c>
      <c r="L126" s="3">
        <v>4.8</v>
      </c>
      <c r="M126" s="3">
        <v>914544.17</v>
      </c>
      <c r="N126" s="3">
        <v>79831.73</v>
      </c>
    </row>
    <row r="127" spans="1:14">
      <c r="A127" s="3" t="s">
        <v>53</v>
      </c>
      <c r="B127" s="4">
        <v>45689</v>
      </c>
      <c r="C127" s="3" t="s">
        <v>24</v>
      </c>
      <c r="D127" s="3" t="s">
        <v>18</v>
      </c>
      <c r="E127" s="3">
        <v>44747</v>
      </c>
      <c r="F127" s="3">
        <v>11076</v>
      </c>
      <c r="G127" s="3">
        <v>0.17599999999999999</v>
      </c>
      <c r="H127" s="3">
        <v>27</v>
      </c>
      <c r="I127" s="3">
        <v>98.3</v>
      </c>
      <c r="J127" s="3">
        <v>0.54</v>
      </c>
      <c r="K127" s="3">
        <v>0</v>
      </c>
      <c r="L127" s="3">
        <v>4.4000000000000004</v>
      </c>
      <c r="M127" s="3">
        <v>842439.67</v>
      </c>
      <c r="N127" s="3">
        <v>169983.63</v>
      </c>
    </row>
    <row r="128" spans="1:14">
      <c r="A128" s="3" t="s">
        <v>53</v>
      </c>
      <c r="B128" s="4">
        <v>45717</v>
      </c>
      <c r="C128" s="3" t="s">
        <v>24</v>
      </c>
      <c r="D128" s="3" t="s">
        <v>18</v>
      </c>
      <c r="E128" s="3">
        <v>56517.9</v>
      </c>
      <c r="F128" s="3">
        <v>9574</v>
      </c>
      <c r="G128" s="3">
        <v>0.20399999999999999</v>
      </c>
      <c r="H128" s="3">
        <v>20</v>
      </c>
      <c r="I128" s="3">
        <v>88.2</v>
      </c>
      <c r="J128" s="3">
        <v>5.37</v>
      </c>
      <c r="K128" s="3">
        <v>1</v>
      </c>
      <c r="L128" s="3">
        <v>4.9000000000000004</v>
      </c>
      <c r="M128" s="3">
        <v>842157.92</v>
      </c>
      <c r="N128" s="3">
        <v>107348.22</v>
      </c>
    </row>
    <row r="129" spans="1:14">
      <c r="A129" s="3" t="s">
        <v>53</v>
      </c>
      <c r="B129" s="4">
        <v>45748</v>
      </c>
      <c r="C129" s="3" t="s">
        <v>24</v>
      </c>
      <c r="D129" s="3" t="s">
        <v>18</v>
      </c>
      <c r="E129" s="3">
        <v>37828.5</v>
      </c>
      <c r="F129" s="3">
        <v>8221</v>
      </c>
      <c r="G129" s="3">
        <v>9.6000000000000002E-2</v>
      </c>
      <c r="H129" s="3">
        <v>19</v>
      </c>
      <c r="I129" s="3">
        <v>81.5</v>
      </c>
      <c r="J129" s="3">
        <v>3.19</v>
      </c>
      <c r="K129" s="3">
        <v>0</v>
      </c>
      <c r="L129" s="3">
        <v>4.8</v>
      </c>
      <c r="M129" s="3">
        <v>697155.3</v>
      </c>
      <c r="N129" s="3">
        <v>136408.54</v>
      </c>
    </row>
    <row r="130" spans="1:14">
      <c r="A130" s="3" t="s">
        <v>54</v>
      </c>
      <c r="B130" s="4">
        <v>45658</v>
      </c>
      <c r="C130" s="3" t="s">
        <v>15</v>
      </c>
      <c r="D130" s="3" t="s">
        <v>18</v>
      </c>
      <c r="E130" s="3">
        <v>66250.53</v>
      </c>
      <c r="F130" s="3">
        <v>10618</v>
      </c>
      <c r="G130" s="3">
        <v>0.14199999999999999</v>
      </c>
      <c r="H130" s="3">
        <v>27</v>
      </c>
      <c r="I130" s="3">
        <v>88.3</v>
      </c>
      <c r="J130" s="3">
        <v>1.1000000000000001</v>
      </c>
      <c r="K130" s="3">
        <v>1</v>
      </c>
      <c r="L130" s="3">
        <v>4.4000000000000004</v>
      </c>
      <c r="M130" s="3">
        <v>849018.3</v>
      </c>
      <c r="N130" s="3">
        <v>149035.13</v>
      </c>
    </row>
    <row r="131" spans="1:14">
      <c r="A131" s="3" t="s">
        <v>54</v>
      </c>
      <c r="B131" s="4">
        <v>45689</v>
      </c>
      <c r="C131" s="3" t="s">
        <v>15</v>
      </c>
      <c r="D131" s="3" t="s">
        <v>18</v>
      </c>
      <c r="E131" s="3">
        <v>68410.929999999993</v>
      </c>
      <c r="F131" s="3">
        <v>10596</v>
      </c>
      <c r="G131" s="3">
        <v>0.20699999999999999</v>
      </c>
      <c r="H131" s="3">
        <v>25</v>
      </c>
      <c r="I131" s="3">
        <v>81.2</v>
      </c>
      <c r="J131" s="3">
        <v>0.21</v>
      </c>
      <c r="K131" s="3">
        <v>0</v>
      </c>
      <c r="L131" s="3">
        <v>4</v>
      </c>
      <c r="M131" s="3">
        <v>801830.35</v>
      </c>
      <c r="N131" s="3">
        <v>114875.32</v>
      </c>
    </row>
    <row r="132" spans="1:14">
      <c r="A132" s="3" t="s">
        <v>54</v>
      </c>
      <c r="B132" s="4">
        <v>45717</v>
      </c>
      <c r="C132" s="3" t="s">
        <v>15</v>
      </c>
      <c r="D132" s="3" t="s">
        <v>18</v>
      </c>
      <c r="E132" s="3">
        <v>50735.63</v>
      </c>
      <c r="F132" s="3">
        <v>9619</v>
      </c>
      <c r="G132" s="3">
        <v>0.14399999999999999</v>
      </c>
      <c r="H132" s="3">
        <v>19</v>
      </c>
      <c r="I132" s="3">
        <v>93.8</v>
      </c>
      <c r="J132" s="3">
        <v>5.12</v>
      </c>
      <c r="K132" s="3">
        <v>1</v>
      </c>
      <c r="L132" s="3">
        <v>4.5</v>
      </c>
      <c r="M132" s="3">
        <v>725235.28</v>
      </c>
      <c r="N132" s="3">
        <v>121632.24</v>
      </c>
    </row>
    <row r="133" spans="1:14">
      <c r="A133" s="3" t="s">
        <v>54</v>
      </c>
      <c r="B133" s="4">
        <v>45748</v>
      </c>
      <c r="C133" s="3" t="s">
        <v>15</v>
      </c>
      <c r="D133" s="3" t="s">
        <v>18</v>
      </c>
      <c r="E133" s="3">
        <v>66455.8</v>
      </c>
      <c r="F133" s="3">
        <v>10836</v>
      </c>
      <c r="G133" s="3">
        <v>8.8999999999999996E-2</v>
      </c>
      <c r="H133" s="3">
        <v>25</v>
      </c>
      <c r="I133" s="3">
        <v>85</v>
      </c>
      <c r="J133" s="3">
        <v>9.77</v>
      </c>
      <c r="K133" s="3">
        <v>0</v>
      </c>
      <c r="L133" s="3">
        <v>4.5</v>
      </c>
      <c r="M133" s="3">
        <v>811452.72</v>
      </c>
      <c r="N133" s="3">
        <v>131325.67000000001</v>
      </c>
    </row>
    <row r="134" spans="1:14">
      <c r="A134" s="3" t="s">
        <v>55</v>
      </c>
      <c r="B134" s="4">
        <v>45658</v>
      </c>
      <c r="C134" s="3" t="s">
        <v>20</v>
      </c>
      <c r="D134" s="3" t="s">
        <v>18</v>
      </c>
      <c r="E134" s="3">
        <v>70276.28</v>
      </c>
      <c r="F134" s="3">
        <v>3043</v>
      </c>
      <c r="G134" s="3">
        <v>7.9000000000000001E-2</v>
      </c>
      <c r="H134" s="3">
        <v>9</v>
      </c>
      <c r="I134" s="3">
        <v>87.9</v>
      </c>
      <c r="J134" s="3">
        <v>3.77</v>
      </c>
      <c r="K134" s="3">
        <v>0</v>
      </c>
      <c r="L134" s="3">
        <v>4.4000000000000004</v>
      </c>
      <c r="M134" s="3">
        <v>527300.13</v>
      </c>
      <c r="N134" s="3">
        <v>84197.87</v>
      </c>
    </row>
    <row r="135" spans="1:14">
      <c r="A135" s="3" t="s">
        <v>55</v>
      </c>
      <c r="B135" s="4">
        <v>45689</v>
      </c>
      <c r="C135" s="3" t="s">
        <v>20</v>
      </c>
      <c r="D135" s="3" t="s">
        <v>18</v>
      </c>
      <c r="E135" s="3">
        <v>22071.64</v>
      </c>
      <c r="F135" s="3">
        <v>1814</v>
      </c>
      <c r="G135" s="3">
        <v>0.19600000000000001</v>
      </c>
      <c r="H135" s="3">
        <v>8</v>
      </c>
      <c r="I135" s="3">
        <v>81.099999999999994</v>
      </c>
      <c r="J135" s="3">
        <v>0.78</v>
      </c>
      <c r="K135" s="3">
        <v>0</v>
      </c>
      <c r="L135" s="5">
        <v>3.9</v>
      </c>
      <c r="M135" s="3">
        <v>400831.65</v>
      </c>
      <c r="N135" s="3">
        <v>70979.31</v>
      </c>
    </row>
    <row r="136" spans="1:14">
      <c r="A136" s="3" t="s">
        <v>55</v>
      </c>
      <c r="B136" s="4">
        <v>45717</v>
      </c>
      <c r="C136" s="3" t="s">
        <v>20</v>
      </c>
      <c r="D136" s="3" t="s">
        <v>18</v>
      </c>
      <c r="E136" s="3">
        <v>52285.45</v>
      </c>
      <c r="F136" s="3">
        <v>3618</v>
      </c>
      <c r="G136" s="3">
        <v>8.5999999999999993E-2</v>
      </c>
      <c r="H136" s="3">
        <v>11</v>
      </c>
      <c r="I136" s="3">
        <v>95.6</v>
      </c>
      <c r="J136" s="3">
        <v>5.17</v>
      </c>
      <c r="K136" s="3">
        <v>1</v>
      </c>
      <c r="L136" s="3">
        <v>4.4000000000000004</v>
      </c>
      <c r="M136" s="3">
        <v>593247.25</v>
      </c>
      <c r="N136" s="3">
        <v>81240.289999999994</v>
      </c>
    </row>
    <row r="137" spans="1:14">
      <c r="A137" s="3" t="s">
        <v>55</v>
      </c>
      <c r="B137" s="4">
        <v>45748</v>
      </c>
      <c r="C137" s="3" t="s">
        <v>20</v>
      </c>
      <c r="D137" s="3" t="s">
        <v>18</v>
      </c>
      <c r="E137" s="3">
        <v>70366.759999999995</v>
      </c>
      <c r="F137" s="3">
        <v>1963</v>
      </c>
      <c r="G137" s="3">
        <v>0.182</v>
      </c>
      <c r="H137" s="3">
        <v>8</v>
      </c>
      <c r="I137" s="3">
        <v>89.8</v>
      </c>
      <c r="J137" s="3">
        <v>3.2</v>
      </c>
      <c r="K137" s="3">
        <v>0</v>
      </c>
      <c r="L137" s="3">
        <v>4.5999999999999996</v>
      </c>
      <c r="M137" s="3">
        <v>529075.94999999995</v>
      </c>
      <c r="N137" s="3">
        <v>95978.83</v>
      </c>
    </row>
    <row r="138" spans="1:14">
      <c r="A138" s="3" t="s">
        <v>56</v>
      </c>
      <c r="B138" s="4">
        <v>45658</v>
      </c>
      <c r="C138" s="3" t="s">
        <v>24</v>
      </c>
      <c r="D138" s="3" t="s">
        <v>16</v>
      </c>
      <c r="E138" s="3">
        <v>71320.66</v>
      </c>
      <c r="F138" s="3">
        <v>7888</v>
      </c>
      <c r="G138" s="3">
        <v>4.8000000000000001E-2</v>
      </c>
      <c r="H138" s="3">
        <v>20</v>
      </c>
      <c r="I138" s="3">
        <v>78.099999999999994</v>
      </c>
      <c r="J138" s="3">
        <v>3.4</v>
      </c>
      <c r="K138" s="3">
        <v>0</v>
      </c>
      <c r="L138" s="5">
        <v>3.9</v>
      </c>
      <c r="M138" s="3">
        <v>633638.03</v>
      </c>
      <c r="N138" s="3">
        <v>99402.01</v>
      </c>
    </row>
    <row r="139" spans="1:14">
      <c r="A139" s="3" t="s">
        <v>56</v>
      </c>
      <c r="B139" s="4">
        <v>45689</v>
      </c>
      <c r="C139" s="3" t="s">
        <v>24</v>
      </c>
      <c r="D139" s="3" t="s">
        <v>16</v>
      </c>
      <c r="E139" s="3">
        <v>75109.67</v>
      </c>
      <c r="F139" s="3">
        <v>6244</v>
      </c>
      <c r="G139" s="3">
        <v>7.9000000000000001E-2</v>
      </c>
      <c r="H139" s="3">
        <v>15</v>
      </c>
      <c r="I139" s="3">
        <v>96.3</v>
      </c>
      <c r="J139" s="3">
        <v>7.38</v>
      </c>
      <c r="K139" s="3">
        <v>0</v>
      </c>
      <c r="L139" s="3">
        <v>3.7</v>
      </c>
      <c r="M139" s="3">
        <v>743348.84</v>
      </c>
      <c r="N139" s="3">
        <v>104186.09</v>
      </c>
    </row>
    <row r="140" spans="1:14">
      <c r="A140" s="3" t="s">
        <v>56</v>
      </c>
      <c r="B140" s="4">
        <v>45717</v>
      </c>
      <c r="C140" s="3" t="s">
        <v>24</v>
      </c>
      <c r="D140" s="3" t="s">
        <v>16</v>
      </c>
      <c r="E140" s="3">
        <v>69779</v>
      </c>
      <c r="F140" s="3">
        <v>6544</v>
      </c>
      <c r="G140" s="3">
        <v>0.152</v>
      </c>
      <c r="H140" s="3">
        <v>18</v>
      </c>
      <c r="I140" s="3">
        <v>90.2</v>
      </c>
      <c r="J140" s="3">
        <v>0.85</v>
      </c>
      <c r="K140" s="3">
        <v>1</v>
      </c>
      <c r="L140" s="3">
        <v>3.3</v>
      </c>
      <c r="M140" s="3">
        <v>758827.64</v>
      </c>
      <c r="N140" s="3">
        <v>161439.48000000001</v>
      </c>
    </row>
    <row r="141" spans="1:14">
      <c r="A141" s="3" t="s">
        <v>56</v>
      </c>
      <c r="B141" s="4">
        <v>45748</v>
      </c>
      <c r="C141" s="3" t="s">
        <v>24</v>
      </c>
      <c r="D141" s="3" t="s">
        <v>16</v>
      </c>
      <c r="E141" s="3">
        <v>44211.95</v>
      </c>
      <c r="F141" s="3">
        <v>5465</v>
      </c>
      <c r="G141" s="3">
        <v>0.187</v>
      </c>
      <c r="H141" s="3">
        <v>12</v>
      </c>
      <c r="I141" s="3">
        <v>90</v>
      </c>
      <c r="J141" s="3">
        <v>2.89</v>
      </c>
      <c r="K141" s="3">
        <v>0</v>
      </c>
      <c r="L141" s="3">
        <v>3.6</v>
      </c>
      <c r="M141" s="3">
        <v>646559.71</v>
      </c>
      <c r="N141" s="3">
        <v>97981.75</v>
      </c>
    </row>
    <row r="142" spans="1:14">
      <c r="A142" s="3" t="s">
        <v>57</v>
      </c>
      <c r="B142" s="4">
        <v>45658</v>
      </c>
      <c r="C142" s="3" t="s">
        <v>27</v>
      </c>
      <c r="D142" s="3" t="s">
        <v>18</v>
      </c>
      <c r="E142" s="3">
        <v>51430.31</v>
      </c>
      <c r="F142" s="3">
        <v>6427</v>
      </c>
      <c r="G142" s="3">
        <v>0.23400000000000001</v>
      </c>
      <c r="H142" s="3">
        <v>14</v>
      </c>
      <c r="I142" s="3">
        <v>88.8</v>
      </c>
      <c r="J142" s="3">
        <v>0.77</v>
      </c>
      <c r="K142" s="3">
        <v>0</v>
      </c>
      <c r="L142" s="3">
        <v>4.0999999999999996</v>
      </c>
      <c r="M142" s="3">
        <v>715890.53</v>
      </c>
      <c r="N142" s="3">
        <v>109032.15</v>
      </c>
    </row>
    <row r="143" spans="1:14">
      <c r="A143" s="3" t="s">
        <v>57</v>
      </c>
      <c r="B143" s="4">
        <v>45689</v>
      </c>
      <c r="C143" s="3" t="s">
        <v>27</v>
      </c>
      <c r="D143" s="3" t="s">
        <v>18</v>
      </c>
      <c r="E143" s="3">
        <v>45706.49</v>
      </c>
      <c r="F143" s="3">
        <v>6704</v>
      </c>
      <c r="G143" s="3">
        <v>3.7999999999999999E-2</v>
      </c>
      <c r="H143" s="3">
        <v>15</v>
      </c>
      <c r="I143" s="3">
        <v>94.2</v>
      </c>
      <c r="J143" s="3">
        <v>2.92</v>
      </c>
      <c r="K143" s="3">
        <v>0</v>
      </c>
      <c r="L143" s="3">
        <v>4.2</v>
      </c>
      <c r="M143" s="3">
        <v>715097.57</v>
      </c>
      <c r="N143" s="3">
        <v>151875.85999999999</v>
      </c>
    </row>
    <row r="144" spans="1:14">
      <c r="A144" s="3" t="s">
        <v>57</v>
      </c>
      <c r="B144" s="4">
        <v>45717</v>
      </c>
      <c r="C144" s="3" t="s">
        <v>27</v>
      </c>
      <c r="D144" s="3" t="s">
        <v>18</v>
      </c>
      <c r="E144" s="3">
        <v>44034.6</v>
      </c>
      <c r="F144" s="3">
        <v>5645</v>
      </c>
      <c r="G144" s="3">
        <v>6.9000000000000006E-2</v>
      </c>
      <c r="H144" s="3">
        <v>18</v>
      </c>
      <c r="I144" s="3">
        <v>88.5</v>
      </c>
      <c r="J144" s="3">
        <v>3.07</v>
      </c>
      <c r="K144" s="3">
        <v>0</v>
      </c>
      <c r="L144" s="3">
        <v>3.8</v>
      </c>
      <c r="M144" s="3">
        <v>682639.28</v>
      </c>
      <c r="N144" s="3">
        <v>77557.53</v>
      </c>
    </row>
    <row r="145" spans="1:14">
      <c r="A145" s="3" t="s">
        <v>57</v>
      </c>
      <c r="B145" s="4">
        <v>45748</v>
      </c>
      <c r="C145" s="3" t="s">
        <v>27</v>
      </c>
      <c r="D145" s="3" t="s">
        <v>18</v>
      </c>
      <c r="E145" s="3">
        <v>50198.12</v>
      </c>
      <c r="F145" s="3">
        <v>6089</v>
      </c>
      <c r="G145" s="3">
        <v>0.182</v>
      </c>
      <c r="H145" s="3">
        <v>19</v>
      </c>
      <c r="I145" s="3">
        <v>94</v>
      </c>
      <c r="J145" s="3">
        <v>9.6999999999999993</v>
      </c>
      <c r="K145" s="3">
        <v>0</v>
      </c>
      <c r="L145" s="3">
        <v>3.9</v>
      </c>
      <c r="M145" s="3">
        <v>695098.51</v>
      </c>
      <c r="N145" s="3">
        <v>108192.75</v>
      </c>
    </row>
    <row r="146" spans="1:14">
      <c r="A146" s="3" t="s">
        <v>58</v>
      </c>
      <c r="B146" s="4">
        <v>45658</v>
      </c>
      <c r="C146" s="3" t="s">
        <v>20</v>
      </c>
      <c r="D146" s="3" t="s">
        <v>16</v>
      </c>
      <c r="E146" s="3">
        <v>70488.2</v>
      </c>
      <c r="F146" s="3">
        <v>4312</v>
      </c>
      <c r="G146" s="3">
        <v>0.16900000000000001</v>
      </c>
      <c r="H146" s="3">
        <v>12</v>
      </c>
      <c r="I146" s="3">
        <v>90.2</v>
      </c>
      <c r="J146" s="3">
        <v>3.71</v>
      </c>
      <c r="K146" s="3">
        <v>0</v>
      </c>
      <c r="L146" s="3">
        <v>3.2</v>
      </c>
      <c r="M146" s="3">
        <v>577732.56999999995</v>
      </c>
      <c r="N146" s="3">
        <v>93804.27</v>
      </c>
    </row>
    <row r="147" spans="1:14">
      <c r="A147" s="3" t="s">
        <v>58</v>
      </c>
      <c r="B147" s="4">
        <v>45689</v>
      </c>
      <c r="C147" s="3" t="s">
        <v>20</v>
      </c>
      <c r="D147" s="3" t="s">
        <v>16</v>
      </c>
      <c r="E147" s="3">
        <v>50909.27</v>
      </c>
      <c r="F147" s="3">
        <v>3152</v>
      </c>
      <c r="G147" s="3">
        <v>0.06</v>
      </c>
      <c r="H147" s="3">
        <v>13</v>
      </c>
      <c r="I147" s="3">
        <v>93.7</v>
      </c>
      <c r="J147" s="3">
        <v>10.79</v>
      </c>
      <c r="K147" s="3">
        <v>0</v>
      </c>
      <c r="L147" s="3">
        <v>3.5</v>
      </c>
      <c r="M147" s="3">
        <v>537058.32999999996</v>
      </c>
      <c r="N147" s="3">
        <v>93555.71</v>
      </c>
    </row>
    <row r="148" spans="1:14">
      <c r="A148" s="3" t="s">
        <v>58</v>
      </c>
      <c r="B148" s="4">
        <v>45717</v>
      </c>
      <c r="C148" s="3" t="s">
        <v>20</v>
      </c>
      <c r="D148" s="3" t="s">
        <v>16</v>
      </c>
      <c r="E148" s="3">
        <v>53351.7</v>
      </c>
      <c r="F148" s="3">
        <v>4259</v>
      </c>
      <c r="G148" s="3">
        <v>0.156</v>
      </c>
      <c r="H148" s="3">
        <v>15</v>
      </c>
      <c r="I148" s="3">
        <v>93.7</v>
      </c>
      <c r="J148" s="3">
        <v>6.03</v>
      </c>
      <c r="K148" s="3">
        <v>0</v>
      </c>
      <c r="L148" s="3">
        <v>3.4</v>
      </c>
      <c r="M148" s="3">
        <v>601568.87</v>
      </c>
      <c r="N148" s="3">
        <v>91634.82</v>
      </c>
    </row>
    <row r="149" spans="1:14">
      <c r="A149" s="3" t="s">
        <v>58</v>
      </c>
      <c r="B149" s="4">
        <v>45748</v>
      </c>
      <c r="C149" s="3" t="s">
        <v>20</v>
      </c>
      <c r="D149" s="3" t="s">
        <v>16</v>
      </c>
      <c r="E149" s="3">
        <v>60322.400000000001</v>
      </c>
      <c r="F149" s="3">
        <v>3350</v>
      </c>
      <c r="G149" s="3">
        <v>0.108</v>
      </c>
      <c r="H149" s="3">
        <v>12</v>
      </c>
      <c r="I149" s="3">
        <v>89.4</v>
      </c>
      <c r="J149" s="3">
        <v>4.92</v>
      </c>
      <c r="K149" s="3">
        <v>0</v>
      </c>
      <c r="L149" s="3">
        <v>3.4</v>
      </c>
      <c r="M149" s="3">
        <v>570964.84</v>
      </c>
      <c r="N149" s="3">
        <v>81331.070000000007</v>
      </c>
    </row>
    <row r="150" spans="1:14">
      <c r="A150" s="3" t="s">
        <v>59</v>
      </c>
      <c r="B150" s="4">
        <v>45658</v>
      </c>
      <c r="C150" s="3" t="s">
        <v>24</v>
      </c>
      <c r="D150" s="3" t="s">
        <v>28</v>
      </c>
      <c r="E150" s="3">
        <v>51575.68</v>
      </c>
      <c r="F150" s="3">
        <v>5329</v>
      </c>
      <c r="G150" s="3">
        <v>4.7E-2</v>
      </c>
      <c r="H150" s="3">
        <v>17</v>
      </c>
      <c r="I150" s="3">
        <v>88.1</v>
      </c>
      <c r="J150" s="3">
        <v>19.78</v>
      </c>
      <c r="K150" s="3">
        <v>0</v>
      </c>
      <c r="L150" s="3">
        <v>3.8</v>
      </c>
      <c r="M150" s="3">
        <v>614024.91</v>
      </c>
      <c r="N150" s="3">
        <v>84828.93</v>
      </c>
    </row>
    <row r="151" spans="1:14">
      <c r="A151" s="3" t="s">
        <v>59</v>
      </c>
      <c r="B151" s="4">
        <v>45689</v>
      </c>
      <c r="C151" s="3" t="s">
        <v>24</v>
      </c>
      <c r="D151" s="3" t="s">
        <v>28</v>
      </c>
      <c r="E151" s="3">
        <v>43319.94</v>
      </c>
      <c r="F151" s="3">
        <v>6551</v>
      </c>
      <c r="G151" s="3">
        <v>4.3999999999999997E-2</v>
      </c>
      <c r="H151" s="3">
        <v>13</v>
      </c>
      <c r="I151" s="3">
        <v>99</v>
      </c>
      <c r="J151" s="3">
        <v>5.45</v>
      </c>
      <c r="K151" s="3">
        <v>0</v>
      </c>
      <c r="L151" s="3">
        <v>4.0999999999999996</v>
      </c>
      <c r="M151" s="3">
        <v>712868.35</v>
      </c>
      <c r="N151" s="3">
        <v>133650.51</v>
      </c>
    </row>
    <row r="152" spans="1:14">
      <c r="A152" s="3" t="s">
        <v>59</v>
      </c>
      <c r="B152" s="4">
        <v>45717</v>
      </c>
      <c r="C152" s="3" t="s">
        <v>24</v>
      </c>
      <c r="D152" s="3" t="s">
        <v>28</v>
      </c>
      <c r="E152" s="3">
        <v>47093.55</v>
      </c>
      <c r="F152" s="3">
        <v>5550</v>
      </c>
      <c r="G152" s="3">
        <v>0.1</v>
      </c>
      <c r="H152" s="3">
        <v>12</v>
      </c>
      <c r="I152" s="3">
        <v>95</v>
      </c>
      <c r="J152" s="3">
        <v>2.33</v>
      </c>
      <c r="K152" s="3">
        <v>1</v>
      </c>
      <c r="L152" s="3">
        <v>3.7</v>
      </c>
      <c r="M152" s="3">
        <v>696744.15</v>
      </c>
      <c r="N152" s="3">
        <v>152230.09</v>
      </c>
    </row>
    <row r="153" spans="1:14">
      <c r="A153" s="3" t="s">
        <v>59</v>
      </c>
      <c r="B153" s="4">
        <v>45748</v>
      </c>
      <c r="C153" s="3" t="s">
        <v>24</v>
      </c>
      <c r="D153" s="3" t="s">
        <v>28</v>
      </c>
      <c r="E153" s="3">
        <v>71855.09</v>
      </c>
      <c r="F153" s="3">
        <v>5911</v>
      </c>
      <c r="G153" s="3">
        <v>0.19700000000000001</v>
      </c>
      <c r="H153" s="3">
        <v>15</v>
      </c>
      <c r="I153" s="3">
        <v>94.3</v>
      </c>
      <c r="J153" s="3">
        <v>3.55</v>
      </c>
      <c r="K153" s="3">
        <v>0</v>
      </c>
      <c r="L153" s="3">
        <v>4.0999999999999996</v>
      </c>
      <c r="M153" s="3">
        <v>725847.99</v>
      </c>
      <c r="N153" s="3">
        <v>122698.73</v>
      </c>
    </row>
    <row r="154" spans="1:14">
      <c r="A154" s="3" t="s">
        <v>60</v>
      </c>
      <c r="B154" s="4">
        <v>45658</v>
      </c>
      <c r="C154" s="3" t="s">
        <v>15</v>
      </c>
      <c r="D154" s="3" t="s">
        <v>18</v>
      </c>
      <c r="E154" s="3">
        <v>75645.23</v>
      </c>
      <c r="F154" s="3">
        <v>9674</v>
      </c>
      <c r="G154" s="3">
        <v>0.23400000000000001</v>
      </c>
      <c r="H154" s="3">
        <v>21</v>
      </c>
      <c r="I154" s="3">
        <v>87.4</v>
      </c>
      <c r="J154" s="3">
        <v>0.2</v>
      </c>
      <c r="K154" s="3">
        <v>0</v>
      </c>
      <c r="L154" s="3">
        <v>4.5</v>
      </c>
      <c r="M154" s="3">
        <v>785028.25</v>
      </c>
      <c r="N154" s="3">
        <v>110726.44</v>
      </c>
    </row>
    <row r="155" spans="1:14">
      <c r="A155" s="3" t="s">
        <v>60</v>
      </c>
      <c r="B155" s="4">
        <v>45689</v>
      </c>
      <c r="C155" s="3" t="s">
        <v>15</v>
      </c>
      <c r="D155" s="3" t="s">
        <v>18</v>
      </c>
      <c r="E155" s="3">
        <v>64374.75</v>
      </c>
      <c r="F155" s="3">
        <v>6740</v>
      </c>
      <c r="G155" s="3">
        <v>0.16900000000000001</v>
      </c>
      <c r="H155" s="3">
        <v>18</v>
      </c>
      <c r="I155" s="3">
        <v>87</v>
      </c>
      <c r="J155" s="3">
        <v>2.09</v>
      </c>
      <c r="K155" s="3">
        <v>0</v>
      </c>
      <c r="L155" s="3">
        <v>4.2</v>
      </c>
      <c r="M155" s="3">
        <v>698492.67</v>
      </c>
      <c r="N155" s="3">
        <v>117319.32</v>
      </c>
    </row>
    <row r="156" spans="1:14">
      <c r="A156" s="3" t="s">
        <v>60</v>
      </c>
      <c r="B156" s="4">
        <v>45717</v>
      </c>
      <c r="C156" s="3" t="s">
        <v>15</v>
      </c>
      <c r="D156" s="3" t="s">
        <v>18</v>
      </c>
      <c r="E156" s="3">
        <v>61433.84</v>
      </c>
      <c r="F156" s="3">
        <v>7745</v>
      </c>
      <c r="G156" s="3">
        <v>0.18</v>
      </c>
      <c r="H156" s="3">
        <v>16</v>
      </c>
      <c r="I156" s="3">
        <v>90.5</v>
      </c>
      <c r="J156" s="3">
        <v>2.2599999999999998</v>
      </c>
      <c r="K156" s="3">
        <v>0</v>
      </c>
      <c r="L156" s="3">
        <v>4.2</v>
      </c>
      <c r="M156" s="3">
        <v>685830.24</v>
      </c>
      <c r="N156" s="3">
        <v>128736.18</v>
      </c>
    </row>
    <row r="157" spans="1:14">
      <c r="A157" s="3" t="s">
        <v>60</v>
      </c>
      <c r="B157" s="4">
        <v>45748</v>
      </c>
      <c r="C157" s="3" t="s">
        <v>15</v>
      </c>
      <c r="D157" s="3" t="s">
        <v>18</v>
      </c>
      <c r="E157" s="3">
        <v>42698.14</v>
      </c>
      <c r="F157" s="3">
        <v>7693</v>
      </c>
      <c r="G157" s="3">
        <v>0.187</v>
      </c>
      <c r="H157" s="3">
        <v>19</v>
      </c>
      <c r="I157" s="3">
        <v>90.1</v>
      </c>
      <c r="J157" s="3">
        <v>0.44</v>
      </c>
      <c r="K157" s="3">
        <v>0</v>
      </c>
      <c r="L157" s="3">
        <v>4.4000000000000004</v>
      </c>
      <c r="M157" s="3">
        <v>702318.94</v>
      </c>
      <c r="N157" s="3">
        <v>112829.29</v>
      </c>
    </row>
    <row r="158" spans="1:14">
      <c r="A158" s="3" t="s">
        <v>61</v>
      </c>
      <c r="B158" s="4">
        <v>45658</v>
      </c>
      <c r="C158" s="3" t="s">
        <v>20</v>
      </c>
      <c r="D158" s="3" t="s">
        <v>28</v>
      </c>
      <c r="E158" s="3">
        <v>86883.31</v>
      </c>
      <c r="F158" s="3">
        <v>6424</v>
      </c>
      <c r="G158" s="3">
        <v>5.7000000000000002E-2</v>
      </c>
      <c r="H158" s="3">
        <v>19</v>
      </c>
      <c r="I158" s="3">
        <v>85.2</v>
      </c>
      <c r="J158" s="3">
        <v>3.08</v>
      </c>
      <c r="K158" s="3">
        <v>0</v>
      </c>
      <c r="L158" s="3">
        <v>3.9</v>
      </c>
      <c r="M158" s="3">
        <v>700078.32</v>
      </c>
      <c r="N158" s="3">
        <v>123707.58</v>
      </c>
    </row>
    <row r="159" spans="1:14">
      <c r="A159" s="3" t="s">
        <v>61</v>
      </c>
      <c r="B159" s="4">
        <v>45689</v>
      </c>
      <c r="C159" s="3" t="s">
        <v>20</v>
      </c>
      <c r="D159" s="3" t="s">
        <v>28</v>
      </c>
      <c r="E159" s="3">
        <v>41863.08</v>
      </c>
      <c r="F159" s="3">
        <v>5400</v>
      </c>
      <c r="G159" s="3">
        <v>0.114</v>
      </c>
      <c r="H159" s="3">
        <v>11</v>
      </c>
      <c r="I159" s="3">
        <v>91.6</v>
      </c>
      <c r="J159" s="3">
        <v>7.99</v>
      </c>
      <c r="K159" s="3">
        <v>0</v>
      </c>
      <c r="L159" s="3">
        <v>3</v>
      </c>
      <c r="M159" s="3">
        <v>602002.31999999995</v>
      </c>
      <c r="N159" s="3">
        <v>110453.28</v>
      </c>
    </row>
    <row r="160" spans="1:14">
      <c r="A160" s="3" t="s">
        <v>61</v>
      </c>
      <c r="B160" s="4">
        <v>45717</v>
      </c>
      <c r="C160" s="3" t="s">
        <v>20</v>
      </c>
      <c r="D160" s="3" t="s">
        <v>28</v>
      </c>
      <c r="E160" s="3">
        <v>56918.16</v>
      </c>
      <c r="F160" s="3">
        <v>7015</v>
      </c>
      <c r="G160" s="3">
        <v>0.158</v>
      </c>
      <c r="H160" s="3">
        <v>18</v>
      </c>
      <c r="I160" s="3">
        <v>74.2</v>
      </c>
      <c r="J160" s="3">
        <v>0.2</v>
      </c>
      <c r="K160" s="3">
        <v>0</v>
      </c>
      <c r="L160" s="3">
        <v>3.4</v>
      </c>
      <c r="M160" s="3">
        <v>724216.07</v>
      </c>
      <c r="N160" s="3">
        <v>100627.56</v>
      </c>
    </row>
    <row r="161" spans="1:14">
      <c r="A161" s="3" t="s">
        <v>61</v>
      </c>
      <c r="B161" s="4">
        <v>45748</v>
      </c>
      <c r="C161" s="3" t="s">
        <v>20</v>
      </c>
      <c r="D161" s="3" t="s">
        <v>28</v>
      </c>
      <c r="E161" s="3">
        <v>23254.57</v>
      </c>
      <c r="F161" s="3">
        <v>3847</v>
      </c>
      <c r="G161" s="3">
        <v>0.159</v>
      </c>
      <c r="H161" s="3">
        <v>12</v>
      </c>
      <c r="I161" s="3">
        <v>93</v>
      </c>
      <c r="J161" s="3">
        <v>5.46</v>
      </c>
      <c r="K161" s="3">
        <v>0</v>
      </c>
      <c r="L161" s="3">
        <v>3.3</v>
      </c>
      <c r="M161" s="3">
        <v>620973.03</v>
      </c>
      <c r="N161" s="3">
        <v>72303.850000000006</v>
      </c>
    </row>
    <row r="162" spans="1:14">
      <c r="A162" s="3" t="s">
        <v>62</v>
      </c>
      <c r="B162" s="4">
        <v>45658</v>
      </c>
      <c r="C162" s="3" t="s">
        <v>24</v>
      </c>
      <c r="D162" s="3" t="s">
        <v>18</v>
      </c>
      <c r="E162" s="3">
        <v>41443.410000000003</v>
      </c>
      <c r="F162" s="3">
        <v>7455</v>
      </c>
      <c r="G162" s="3">
        <v>0.17499999999999999</v>
      </c>
      <c r="H162" s="3">
        <v>16</v>
      </c>
      <c r="I162" s="3">
        <v>90.1</v>
      </c>
      <c r="J162" s="3">
        <v>4.05</v>
      </c>
      <c r="K162" s="3">
        <v>0</v>
      </c>
      <c r="L162" s="3">
        <v>4</v>
      </c>
      <c r="M162" s="3">
        <v>650480.06000000006</v>
      </c>
      <c r="N162" s="3">
        <v>109012.07</v>
      </c>
    </row>
    <row r="163" spans="1:14">
      <c r="A163" s="3" t="s">
        <v>62</v>
      </c>
      <c r="B163" s="4">
        <v>45689</v>
      </c>
      <c r="C163" s="3" t="s">
        <v>24</v>
      </c>
      <c r="D163" s="3" t="s">
        <v>18</v>
      </c>
      <c r="E163" s="3">
        <v>48438.85</v>
      </c>
      <c r="F163" s="3">
        <v>6992</v>
      </c>
      <c r="G163" s="3">
        <v>3.4000000000000002E-2</v>
      </c>
      <c r="H163" s="3">
        <v>20</v>
      </c>
      <c r="I163" s="3">
        <v>91</v>
      </c>
      <c r="J163" s="3">
        <v>4.3600000000000003</v>
      </c>
      <c r="K163" s="3">
        <v>0</v>
      </c>
      <c r="L163" s="3">
        <v>4.2</v>
      </c>
      <c r="M163" s="3">
        <v>778298.88</v>
      </c>
      <c r="N163" s="3">
        <v>130076.72</v>
      </c>
    </row>
    <row r="164" spans="1:14">
      <c r="A164" s="3" t="s">
        <v>62</v>
      </c>
      <c r="B164" s="4">
        <v>45717</v>
      </c>
      <c r="C164" s="3" t="s">
        <v>24</v>
      </c>
      <c r="D164" s="3" t="s">
        <v>18</v>
      </c>
      <c r="E164" s="3">
        <v>57143.3</v>
      </c>
      <c r="F164" s="3">
        <v>8038</v>
      </c>
      <c r="G164" s="3">
        <v>0.193</v>
      </c>
      <c r="H164" s="3">
        <v>17</v>
      </c>
      <c r="I164" s="3">
        <v>72.599999999999994</v>
      </c>
      <c r="J164" s="5">
        <v>4.5599999999999996</v>
      </c>
      <c r="K164" s="3">
        <v>0</v>
      </c>
      <c r="L164" s="3">
        <v>4.2</v>
      </c>
      <c r="M164" s="3">
        <v>677096.71</v>
      </c>
      <c r="N164" s="3">
        <v>97174.11</v>
      </c>
    </row>
    <row r="165" spans="1:14">
      <c r="A165" s="3" t="s">
        <v>62</v>
      </c>
      <c r="B165" s="4">
        <v>45748</v>
      </c>
      <c r="C165" s="3" t="s">
        <v>24</v>
      </c>
      <c r="D165" s="3" t="s">
        <v>18</v>
      </c>
      <c r="E165" s="3">
        <v>66870.62</v>
      </c>
      <c r="F165" s="3">
        <v>6055</v>
      </c>
      <c r="G165" s="3">
        <v>7.4999999999999997E-2</v>
      </c>
      <c r="H165" s="3">
        <v>19</v>
      </c>
      <c r="I165" s="3">
        <v>93.8</v>
      </c>
      <c r="J165" s="3">
        <v>0.54</v>
      </c>
      <c r="K165" s="3">
        <v>0</v>
      </c>
      <c r="L165" s="3">
        <v>4.3</v>
      </c>
      <c r="M165" s="3">
        <v>692008.64</v>
      </c>
      <c r="N165" s="3">
        <v>116337.87</v>
      </c>
    </row>
    <row r="166" spans="1:14">
      <c r="A166" s="3" t="s">
        <v>63</v>
      </c>
      <c r="B166" s="4">
        <v>45658</v>
      </c>
      <c r="C166" s="3" t="s">
        <v>20</v>
      </c>
      <c r="D166" s="3" t="s">
        <v>28</v>
      </c>
      <c r="E166" s="3">
        <v>72150.53</v>
      </c>
      <c r="F166" s="3">
        <v>9323</v>
      </c>
      <c r="G166" s="3">
        <v>0.157</v>
      </c>
      <c r="H166" s="3">
        <v>22</v>
      </c>
      <c r="I166" s="3">
        <v>82.9</v>
      </c>
      <c r="J166" s="3">
        <v>11.37</v>
      </c>
      <c r="K166" s="3">
        <v>1</v>
      </c>
      <c r="L166" s="3">
        <v>4.3</v>
      </c>
      <c r="M166" s="3">
        <v>825797.91</v>
      </c>
      <c r="N166" s="3">
        <v>130945.24</v>
      </c>
    </row>
    <row r="167" spans="1:14">
      <c r="A167" s="3" t="s">
        <v>63</v>
      </c>
      <c r="B167" s="4">
        <v>45689</v>
      </c>
      <c r="C167" s="3" t="s">
        <v>20</v>
      </c>
      <c r="D167" s="3" t="s">
        <v>28</v>
      </c>
      <c r="E167" s="3">
        <v>35303.300000000003</v>
      </c>
      <c r="F167" s="3">
        <v>8789</v>
      </c>
      <c r="G167" s="3">
        <v>0.123</v>
      </c>
      <c r="H167" s="3">
        <v>22</v>
      </c>
      <c r="I167" s="3">
        <v>86.1</v>
      </c>
      <c r="J167" s="3">
        <v>9.43</v>
      </c>
      <c r="K167" s="3">
        <v>0</v>
      </c>
      <c r="L167" s="3">
        <v>4.2</v>
      </c>
      <c r="M167" s="3">
        <v>706285.52</v>
      </c>
      <c r="N167" s="3">
        <v>138014.72</v>
      </c>
    </row>
    <row r="168" spans="1:14">
      <c r="A168" s="3" t="s">
        <v>63</v>
      </c>
      <c r="B168" s="4">
        <v>45717</v>
      </c>
      <c r="C168" s="3" t="s">
        <v>20</v>
      </c>
      <c r="D168" s="3" t="s">
        <v>28</v>
      </c>
      <c r="E168" s="3">
        <v>30301.86</v>
      </c>
      <c r="F168" s="3">
        <v>6939</v>
      </c>
      <c r="G168" s="3">
        <v>0.09</v>
      </c>
      <c r="H168" s="3">
        <v>16</v>
      </c>
      <c r="I168" s="3">
        <v>90.3</v>
      </c>
      <c r="J168" s="3">
        <v>3.49</v>
      </c>
      <c r="K168" s="3">
        <v>0</v>
      </c>
      <c r="L168" s="3">
        <v>4</v>
      </c>
      <c r="M168" s="3">
        <v>665534.69999999995</v>
      </c>
      <c r="N168" s="3">
        <v>113167.73</v>
      </c>
    </row>
    <row r="169" spans="1:14">
      <c r="A169" s="3" t="s">
        <v>63</v>
      </c>
      <c r="B169" s="4">
        <v>45748</v>
      </c>
      <c r="C169" s="3" t="s">
        <v>20</v>
      </c>
      <c r="D169" s="3" t="s">
        <v>28</v>
      </c>
      <c r="E169" s="3">
        <v>78432.14</v>
      </c>
      <c r="F169" s="3">
        <v>9440</v>
      </c>
      <c r="G169" s="3">
        <v>0.126</v>
      </c>
      <c r="H169" s="3">
        <v>23</v>
      </c>
      <c r="I169" s="3">
        <v>89.2</v>
      </c>
      <c r="J169" s="3">
        <v>7.86</v>
      </c>
      <c r="K169" s="3">
        <v>0</v>
      </c>
      <c r="L169" s="3">
        <v>4.0999999999999996</v>
      </c>
      <c r="M169" s="3">
        <v>820729.29</v>
      </c>
      <c r="N169" s="3">
        <v>159325.47</v>
      </c>
    </row>
    <row r="170" spans="1:14">
      <c r="A170" s="3" t="s">
        <v>64</v>
      </c>
      <c r="B170" s="4">
        <v>45658</v>
      </c>
      <c r="C170" s="3" t="s">
        <v>15</v>
      </c>
      <c r="D170" s="3" t="s">
        <v>16</v>
      </c>
      <c r="E170" s="3">
        <v>62059.18</v>
      </c>
      <c r="F170" s="3">
        <v>9374</v>
      </c>
      <c r="G170" s="3">
        <v>0.13600000000000001</v>
      </c>
      <c r="H170" s="3">
        <v>25</v>
      </c>
      <c r="I170" s="3">
        <v>87.1</v>
      </c>
      <c r="J170" s="3">
        <v>12.55</v>
      </c>
      <c r="K170" s="3">
        <v>0</v>
      </c>
      <c r="L170" s="3">
        <v>4.9000000000000004</v>
      </c>
      <c r="M170" s="3">
        <v>739831.73</v>
      </c>
      <c r="N170" s="3">
        <v>119490.21</v>
      </c>
    </row>
    <row r="171" spans="1:14">
      <c r="A171" s="3" t="s">
        <v>64</v>
      </c>
      <c r="B171" s="4">
        <v>45689</v>
      </c>
      <c r="C171" s="3" t="s">
        <v>15</v>
      </c>
      <c r="D171" s="3" t="s">
        <v>16</v>
      </c>
      <c r="E171" s="3">
        <v>32834.480000000003</v>
      </c>
      <c r="F171" s="3">
        <v>7576</v>
      </c>
      <c r="G171" s="3">
        <v>9.9000000000000005E-2</v>
      </c>
      <c r="H171" s="3">
        <v>15</v>
      </c>
      <c r="I171" s="3">
        <v>84.1</v>
      </c>
      <c r="J171" s="3">
        <v>3.48</v>
      </c>
      <c r="K171" s="3">
        <v>0</v>
      </c>
      <c r="L171" s="3">
        <v>5</v>
      </c>
      <c r="M171" s="3">
        <v>593637.14</v>
      </c>
      <c r="N171" s="3">
        <v>106648.14</v>
      </c>
    </row>
    <row r="172" spans="1:14">
      <c r="A172" s="3" t="s">
        <v>64</v>
      </c>
      <c r="B172" s="4">
        <v>45717</v>
      </c>
      <c r="C172" s="3" t="s">
        <v>15</v>
      </c>
      <c r="D172" s="3" t="s">
        <v>16</v>
      </c>
      <c r="E172" s="3">
        <v>50825.08</v>
      </c>
      <c r="F172" s="3">
        <v>8949</v>
      </c>
      <c r="G172" s="3">
        <v>0.157</v>
      </c>
      <c r="H172" s="3">
        <v>21</v>
      </c>
      <c r="I172" s="3">
        <v>84.7</v>
      </c>
      <c r="J172" s="3">
        <v>7.73</v>
      </c>
      <c r="K172" s="3">
        <v>0</v>
      </c>
      <c r="L172" s="3">
        <v>4.9000000000000004</v>
      </c>
      <c r="M172" s="3">
        <v>769702.76</v>
      </c>
      <c r="N172" s="3">
        <v>158697</v>
      </c>
    </row>
    <row r="173" spans="1:14">
      <c r="A173" s="3" t="s">
        <v>64</v>
      </c>
      <c r="B173" s="4">
        <v>45748</v>
      </c>
      <c r="C173" s="3" t="s">
        <v>15</v>
      </c>
      <c r="D173" s="3" t="s">
        <v>16</v>
      </c>
      <c r="E173" s="3">
        <v>36606.51</v>
      </c>
      <c r="F173" s="3">
        <v>7671</v>
      </c>
      <c r="G173" s="3">
        <v>0.11799999999999999</v>
      </c>
      <c r="H173" s="3">
        <v>18</v>
      </c>
      <c r="I173" s="3">
        <v>89.8</v>
      </c>
      <c r="J173" s="3">
        <v>0.25</v>
      </c>
      <c r="K173" s="3">
        <v>0</v>
      </c>
      <c r="L173" s="3">
        <v>4.4000000000000004</v>
      </c>
      <c r="M173" s="3">
        <v>679731.57</v>
      </c>
      <c r="N173" s="3">
        <v>121546.42</v>
      </c>
    </row>
    <row r="174" spans="1:14">
      <c r="A174" s="3" t="s">
        <v>65</v>
      </c>
      <c r="B174" s="4">
        <v>45658</v>
      </c>
      <c r="C174" s="3" t="s">
        <v>15</v>
      </c>
      <c r="D174" s="3" t="s">
        <v>16</v>
      </c>
      <c r="E174" s="3">
        <v>65237.79</v>
      </c>
      <c r="F174" s="3">
        <v>8741</v>
      </c>
      <c r="G174" s="3">
        <v>0.157</v>
      </c>
      <c r="H174" s="3">
        <v>20</v>
      </c>
      <c r="I174" s="3">
        <v>94.4</v>
      </c>
      <c r="J174" s="3">
        <v>6.43</v>
      </c>
      <c r="K174" s="3">
        <v>0</v>
      </c>
      <c r="L174" s="3">
        <v>3.3</v>
      </c>
      <c r="M174" s="3">
        <v>780344.18</v>
      </c>
      <c r="N174" s="3">
        <v>118239.09</v>
      </c>
    </row>
    <row r="175" spans="1:14">
      <c r="A175" s="3" t="s">
        <v>65</v>
      </c>
      <c r="B175" s="4">
        <v>45689</v>
      </c>
      <c r="C175" s="3" t="s">
        <v>15</v>
      </c>
      <c r="D175" s="3" t="s">
        <v>16</v>
      </c>
      <c r="E175" s="3">
        <v>43645.98</v>
      </c>
      <c r="F175" s="3">
        <v>9480</v>
      </c>
      <c r="G175" s="3">
        <v>0.109</v>
      </c>
      <c r="H175" s="3">
        <v>22</v>
      </c>
      <c r="I175" s="3">
        <v>89</v>
      </c>
      <c r="J175" s="3">
        <v>2.11</v>
      </c>
      <c r="K175" s="3">
        <v>0</v>
      </c>
      <c r="L175" s="3">
        <v>3.1</v>
      </c>
      <c r="M175" s="3">
        <v>721364.11</v>
      </c>
      <c r="N175" s="3">
        <v>147272.81</v>
      </c>
    </row>
    <row r="176" spans="1:14">
      <c r="A176" s="3" t="s">
        <v>65</v>
      </c>
      <c r="B176" s="4">
        <v>45717</v>
      </c>
      <c r="C176" s="3" t="s">
        <v>15</v>
      </c>
      <c r="D176" s="3" t="s">
        <v>16</v>
      </c>
      <c r="E176" s="3">
        <v>68040.149999999994</v>
      </c>
      <c r="F176" s="3">
        <v>9826</v>
      </c>
      <c r="G176" s="3">
        <v>0.125</v>
      </c>
      <c r="H176" s="3">
        <v>20</v>
      </c>
      <c r="I176" s="3">
        <v>83.9</v>
      </c>
      <c r="J176" s="3">
        <v>9.1199999999999992</v>
      </c>
      <c r="K176" s="3">
        <v>0</v>
      </c>
      <c r="L176" s="3">
        <v>3.6</v>
      </c>
      <c r="M176" s="3">
        <v>758138.29</v>
      </c>
      <c r="N176" s="3">
        <v>132975.26</v>
      </c>
    </row>
    <row r="177" spans="1:14">
      <c r="A177" s="3" t="s">
        <v>65</v>
      </c>
      <c r="B177" s="4">
        <v>45748</v>
      </c>
      <c r="C177" s="3" t="s">
        <v>15</v>
      </c>
      <c r="D177" s="3" t="s">
        <v>16</v>
      </c>
      <c r="E177" s="3">
        <v>63043.94</v>
      </c>
      <c r="F177" s="3">
        <v>10402</v>
      </c>
      <c r="G177" s="3">
        <v>0.159</v>
      </c>
      <c r="H177" s="3">
        <v>23</v>
      </c>
      <c r="I177" s="3">
        <v>93.9</v>
      </c>
      <c r="J177" s="3">
        <v>2.71</v>
      </c>
      <c r="K177" s="3">
        <v>0</v>
      </c>
      <c r="L177" s="3">
        <v>3.1</v>
      </c>
      <c r="M177" s="3">
        <v>804264</v>
      </c>
      <c r="N177" s="3">
        <v>167117.91</v>
      </c>
    </row>
    <row r="178" spans="1:14">
      <c r="A178" s="3" t="s">
        <v>66</v>
      </c>
      <c r="B178" s="4">
        <v>45658</v>
      </c>
      <c r="C178" s="3" t="s">
        <v>27</v>
      </c>
      <c r="D178" s="3" t="s">
        <v>21</v>
      </c>
      <c r="E178" s="3">
        <v>67494.09</v>
      </c>
      <c r="F178" s="3">
        <v>12361</v>
      </c>
      <c r="G178" s="3">
        <v>4.5999999999999999E-2</v>
      </c>
      <c r="H178" s="3">
        <v>24</v>
      </c>
      <c r="I178" s="3">
        <v>76.599999999999994</v>
      </c>
      <c r="J178" s="3">
        <v>3.65</v>
      </c>
      <c r="K178" s="3">
        <v>1</v>
      </c>
      <c r="L178" s="3">
        <v>3.7</v>
      </c>
      <c r="M178" s="3">
        <v>887537.75</v>
      </c>
      <c r="N178" s="3">
        <v>160362.92000000001</v>
      </c>
    </row>
    <row r="179" spans="1:14">
      <c r="A179" s="3" t="s">
        <v>66</v>
      </c>
      <c r="B179" s="4">
        <v>45689</v>
      </c>
      <c r="C179" s="3" t="s">
        <v>27</v>
      </c>
      <c r="D179" s="3" t="s">
        <v>21</v>
      </c>
      <c r="E179" s="3">
        <v>29389.32</v>
      </c>
      <c r="F179" s="3">
        <v>7925</v>
      </c>
      <c r="G179" s="3">
        <v>0.17699999999999999</v>
      </c>
      <c r="H179" s="3">
        <v>21</v>
      </c>
      <c r="I179" s="3">
        <v>90.9</v>
      </c>
      <c r="J179" s="3">
        <v>7.86</v>
      </c>
      <c r="K179" s="3">
        <v>0</v>
      </c>
      <c r="L179" s="3">
        <v>4</v>
      </c>
      <c r="M179" s="3">
        <v>783582</v>
      </c>
      <c r="N179" s="3">
        <v>130670.93</v>
      </c>
    </row>
    <row r="180" spans="1:14">
      <c r="A180" s="3" t="s">
        <v>66</v>
      </c>
      <c r="B180" s="4">
        <v>45717</v>
      </c>
      <c r="C180" s="3" t="s">
        <v>27</v>
      </c>
      <c r="D180" s="3" t="s">
        <v>21</v>
      </c>
      <c r="E180" s="3">
        <v>40535.089999999997</v>
      </c>
      <c r="F180" s="3">
        <v>8870</v>
      </c>
      <c r="G180" s="3">
        <v>4.1000000000000002E-2</v>
      </c>
      <c r="H180" s="3">
        <v>21</v>
      </c>
      <c r="I180" s="3">
        <v>86.6</v>
      </c>
      <c r="J180" s="3">
        <v>0.3</v>
      </c>
      <c r="K180" s="3">
        <v>0</v>
      </c>
      <c r="L180" s="3">
        <v>4.0999999999999996</v>
      </c>
      <c r="M180" s="3">
        <v>781955.52</v>
      </c>
      <c r="N180" s="3">
        <v>152578.71</v>
      </c>
    </row>
    <row r="181" spans="1:14">
      <c r="A181" s="3" t="s">
        <v>66</v>
      </c>
      <c r="B181" s="4">
        <v>45748</v>
      </c>
      <c r="C181" s="3" t="s">
        <v>27</v>
      </c>
      <c r="D181" s="3" t="s">
        <v>21</v>
      </c>
      <c r="E181" s="3">
        <v>74881.56</v>
      </c>
      <c r="F181" s="3">
        <v>9999</v>
      </c>
      <c r="G181" s="3">
        <v>1.2999999999999999E-2</v>
      </c>
      <c r="H181" s="3">
        <v>20</v>
      </c>
      <c r="I181" s="3">
        <v>89.6</v>
      </c>
      <c r="J181" s="3">
        <v>8.44</v>
      </c>
      <c r="K181" s="3">
        <v>0</v>
      </c>
      <c r="L181" s="3">
        <v>4.0999999999999996</v>
      </c>
      <c r="M181" s="3">
        <v>898031.04</v>
      </c>
      <c r="N181" s="3">
        <v>138666.5</v>
      </c>
    </row>
    <row r="182" spans="1:14">
      <c r="A182" s="3" t="s">
        <v>67</v>
      </c>
      <c r="B182" s="4">
        <v>45658</v>
      </c>
      <c r="C182" s="3" t="s">
        <v>27</v>
      </c>
      <c r="D182" s="3" t="s">
        <v>16</v>
      </c>
      <c r="E182" s="3">
        <v>68491.11</v>
      </c>
      <c r="F182" s="3">
        <v>11154</v>
      </c>
      <c r="G182" s="3">
        <v>1E-3</v>
      </c>
      <c r="H182" s="3">
        <v>24</v>
      </c>
      <c r="I182" s="3">
        <v>89.4</v>
      </c>
      <c r="J182" s="3">
        <v>5.27</v>
      </c>
      <c r="K182" s="3">
        <v>1</v>
      </c>
      <c r="L182" s="3">
        <v>3.9</v>
      </c>
      <c r="M182" s="3">
        <v>855341.28</v>
      </c>
      <c r="N182" s="3">
        <v>175823.8</v>
      </c>
    </row>
    <row r="183" spans="1:14">
      <c r="A183" s="3" t="s">
        <v>67</v>
      </c>
      <c r="B183" s="4">
        <v>45689</v>
      </c>
      <c r="C183" s="3" t="s">
        <v>27</v>
      </c>
      <c r="D183" s="3" t="s">
        <v>16</v>
      </c>
      <c r="E183" s="3">
        <v>45209.25</v>
      </c>
      <c r="F183" s="3">
        <v>9287</v>
      </c>
      <c r="G183" s="3">
        <v>0.14099999999999999</v>
      </c>
      <c r="H183" s="3">
        <v>22</v>
      </c>
      <c r="I183" s="3">
        <v>86.4</v>
      </c>
      <c r="J183" s="3">
        <v>13.22</v>
      </c>
      <c r="K183" s="3">
        <v>0</v>
      </c>
      <c r="L183" s="3">
        <v>3.6</v>
      </c>
      <c r="M183" s="3">
        <v>751393.88</v>
      </c>
      <c r="N183" s="3">
        <v>91480.320000000007</v>
      </c>
    </row>
    <row r="184" spans="1:14">
      <c r="A184" s="3" t="s">
        <v>67</v>
      </c>
      <c r="B184" s="4">
        <v>45717</v>
      </c>
      <c r="C184" s="3" t="s">
        <v>27</v>
      </c>
      <c r="D184" s="3" t="s">
        <v>16</v>
      </c>
      <c r="E184" s="3">
        <v>63010.23</v>
      </c>
      <c r="F184" s="3">
        <v>9812</v>
      </c>
      <c r="G184" s="3">
        <v>0.113</v>
      </c>
      <c r="H184" s="3">
        <v>24</v>
      </c>
      <c r="I184" s="3">
        <v>76.8</v>
      </c>
      <c r="J184" s="3">
        <v>1.02</v>
      </c>
      <c r="K184" s="3">
        <v>1</v>
      </c>
      <c r="L184" s="3">
        <v>3.8</v>
      </c>
      <c r="M184" s="3">
        <v>761077.08</v>
      </c>
      <c r="N184" s="3">
        <v>113605.93</v>
      </c>
    </row>
    <row r="185" spans="1:14">
      <c r="A185" s="3" t="s">
        <v>67</v>
      </c>
      <c r="B185" s="4">
        <v>45748</v>
      </c>
      <c r="C185" s="3" t="s">
        <v>27</v>
      </c>
      <c r="D185" s="3" t="s">
        <v>16</v>
      </c>
      <c r="E185" s="3">
        <v>57948.88</v>
      </c>
      <c r="F185" s="3">
        <v>10741</v>
      </c>
      <c r="G185" s="3">
        <v>7.0000000000000007E-2</v>
      </c>
      <c r="H185" s="3">
        <v>25</v>
      </c>
      <c r="I185" s="3">
        <v>90.1</v>
      </c>
      <c r="J185" s="3">
        <v>4.03</v>
      </c>
      <c r="K185" s="3">
        <v>0</v>
      </c>
      <c r="L185" s="3">
        <v>3.1</v>
      </c>
      <c r="M185" s="3">
        <v>819660.59</v>
      </c>
      <c r="N185" s="3">
        <v>172699.95</v>
      </c>
    </row>
    <row r="186" spans="1:14">
      <c r="A186" s="3" t="s">
        <v>68</v>
      </c>
      <c r="B186" s="4">
        <v>45658</v>
      </c>
      <c r="C186" s="3" t="s">
        <v>20</v>
      </c>
      <c r="D186" s="3" t="s">
        <v>18</v>
      </c>
      <c r="E186" s="3">
        <v>71941.62</v>
      </c>
      <c r="F186" s="3">
        <v>6084</v>
      </c>
      <c r="G186" s="3">
        <v>7.1999999999999995E-2</v>
      </c>
      <c r="H186" s="3">
        <v>13</v>
      </c>
      <c r="I186" s="3">
        <v>93.7</v>
      </c>
      <c r="J186" s="3">
        <v>2.34</v>
      </c>
      <c r="K186" s="3">
        <v>0</v>
      </c>
      <c r="L186" s="3">
        <v>4.4000000000000004</v>
      </c>
      <c r="M186" s="3">
        <v>681855.56</v>
      </c>
      <c r="N186" s="3">
        <v>117645.61</v>
      </c>
    </row>
    <row r="187" spans="1:14">
      <c r="A187" s="3" t="s">
        <v>68</v>
      </c>
      <c r="B187" s="4">
        <v>45689</v>
      </c>
      <c r="C187" s="3" t="s">
        <v>20</v>
      </c>
      <c r="D187" s="3" t="s">
        <v>18</v>
      </c>
      <c r="E187" s="3">
        <v>57147.88</v>
      </c>
      <c r="F187" s="3">
        <v>5252</v>
      </c>
      <c r="G187" s="3">
        <v>0.161</v>
      </c>
      <c r="H187" s="3">
        <v>15</v>
      </c>
      <c r="I187" s="3">
        <v>95.5</v>
      </c>
      <c r="J187" s="3">
        <v>8.51</v>
      </c>
      <c r="K187" s="3">
        <v>0</v>
      </c>
      <c r="L187" s="3">
        <v>4.4000000000000004</v>
      </c>
      <c r="M187" s="3">
        <v>678311.17</v>
      </c>
      <c r="N187" s="3">
        <v>132029.76000000001</v>
      </c>
    </row>
    <row r="188" spans="1:14">
      <c r="A188" s="3" t="s">
        <v>68</v>
      </c>
      <c r="B188" s="4">
        <v>45717</v>
      </c>
      <c r="C188" s="3" t="s">
        <v>20</v>
      </c>
      <c r="D188" s="3" t="s">
        <v>18</v>
      </c>
      <c r="E188" s="3">
        <v>48031.74</v>
      </c>
      <c r="F188" s="3">
        <v>6516</v>
      </c>
      <c r="G188" s="3">
        <v>6.7000000000000004E-2</v>
      </c>
      <c r="H188" s="3">
        <v>14</v>
      </c>
      <c r="I188" s="3">
        <v>99</v>
      </c>
      <c r="J188" s="3">
        <v>0.48</v>
      </c>
      <c r="K188" s="3">
        <v>1</v>
      </c>
      <c r="L188" s="3">
        <v>4.3</v>
      </c>
      <c r="M188" s="3">
        <v>765906.95</v>
      </c>
      <c r="N188" s="3">
        <v>114005.9</v>
      </c>
    </row>
    <row r="189" spans="1:14">
      <c r="A189" s="3" t="s">
        <v>68</v>
      </c>
      <c r="B189" s="4">
        <v>45748</v>
      </c>
      <c r="C189" s="3" t="s">
        <v>20</v>
      </c>
      <c r="D189" s="3" t="s">
        <v>18</v>
      </c>
      <c r="E189" s="3">
        <v>72784.800000000003</v>
      </c>
      <c r="F189" s="3">
        <v>7932</v>
      </c>
      <c r="G189" s="3">
        <v>9.4E-2</v>
      </c>
      <c r="H189" s="3">
        <v>20</v>
      </c>
      <c r="I189" s="3">
        <v>74.900000000000006</v>
      </c>
      <c r="J189" s="3">
        <v>13.62</v>
      </c>
      <c r="K189" s="3">
        <v>0</v>
      </c>
      <c r="L189" s="3">
        <v>4.2</v>
      </c>
      <c r="M189" s="3">
        <v>712546.38</v>
      </c>
      <c r="N189" s="3">
        <v>101480.04</v>
      </c>
    </row>
    <row r="190" spans="1:14">
      <c r="A190" s="3" t="s">
        <v>69</v>
      </c>
      <c r="B190" s="4">
        <v>45658</v>
      </c>
      <c r="C190" s="3" t="s">
        <v>15</v>
      </c>
      <c r="D190" s="3" t="s">
        <v>18</v>
      </c>
      <c r="E190" s="3">
        <v>71641.899999999994</v>
      </c>
      <c r="F190" s="3">
        <v>3506</v>
      </c>
      <c r="G190" s="3">
        <v>0</v>
      </c>
      <c r="H190" s="3">
        <v>11</v>
      </c>
      <c r="I190" s="3">
        <v>86.4</v>
      </c>
      <c r="J190" s="3">
        <v>7.77</v>
      </c>
      <c r="K190" s="3">
        <v>0</v>
      </c>
      <c r="L190" s="3">
        <v>4.0999999999999996</v>
      </c>
      <c r="M190" s="3">
        <v>625993.82999999996</v>
      </c>
      <c r="N190" s="3">
        <v>98960.320000000007</v>
      </c>
    </row>
    <row r="191" spans="1:14">
      <c r="A191" s="3" t="s">
        <v>69</v>
      </c>
      <c r="B191" s="4">
        <v>45689</v>
      </c>
      <c r="C191" s="3" t="s">
        <v>15</v>
      </c>
      <c r="D191" s="3" t="s">
        <v>18</v>
      </c>
      <c r="E191" s="3">
        <v>55788.61</v>
      </c>
      <c r="F191" s="3">
        <v>2312</v>
      </c>
      <c r="G191" s="3">
        <v>5.8000000000000003E-2</v>
      </c>
      <c r="H191" s="3">
        <v>10</v>
      </c>
      <c r="I191" s="3">
        <v>91.3</v>
      </c>
      <c r="J191" s="3">
        <v>1.99</v>
      </c>
      <c r="K191" s="3">
        <v>0</v>
      </c>
      <c r="L191" s="3">
        <v>3.8</v>
      </c>
      <c r="M191" s="3">
        <v>550962.93000000005</v>
      </c>
      <c r="N191" s="3">
        <v>97144.58</v>
      </c>
    </row>
    <row r="192" spans="1:14">
      <c r="A192" s="3" t="s">
        <v>69</v>
      </c>
      <c r="B192" s="4">
        <v>45717</v>
      </c>
      <c r="C192" s="3" t="s">
        <v>15</v>
      </c>
      <c r="D192" s="3" t="s">
        <v>18</v>
      </c>
      <c r="E192" s="3">
        <v>37705.879999999997</v>
      </c>
      <c r="F192" s="3">
        <v>1268</v>
      </c>
      <c r="G192" s="3">
        <v>0.25900000000000001</v>
      </c>
      <c r="H192" s="3">
        <v>9</v>
      </c>
      <c r="I192" s="3">
        <v>84.1</v>
      </c>
      <c r="J192" s="3">
        <v>4.7699999999999996</v>
      </c>
      <c r="K192" s="3">
        <v>0</v>
      </c>
      <c r="L192" s="3">
        <v>3.8</v>
      </c>
      <c r="M192" s="3">
        <v>443275.59</v>
      </c>
      <c r="N192" s="3">
        <v>53544.36</v>
      </c>
    </row>
    <row r="193" spans="1:14">
      <c r="A193" s="3" t="s">
        <v>69</v>
      </c>
      <c r="B193" s="4">
        <v>45748</v>
      </c>
      <c r="C193" s="3" t="s">
        <v>15</v>
      </c>
      <c r="D193" s="3" t="s">
        <v>18</v>
      </c>
      <c r="E193" s="3">
        <v>54966.18</v>
      </c>
      <c r="F193" s="3">
        <v>4423</v>
      </c>
      <c r="G193" s="3">
        <v>0.186</v>
      </c>
      <c r="H193" s="3">
        <v>13</v>
      </c>
      <c r="I193" s="3">
        <v>88.7</v>
      </c>
      <c r="J193" s="3">
        <v>0.2</v>
      </c>
      <c r="K193" s="3">
        <v>0</v>
      </c>
      <c r="L193" s="3">
        <v>4.4000000000000004</v>
      </c>
      <c r="M193" s="3">
        <v>554012.06999999995</v>
      </c>
      <c r="N193" s="3">
        <v>81101.62</v>
      </c>
    </row>
    <row r="194" spans="1:14">
      <c r="A194" s="3" t="s">
        <v>70</v>
      </c>
      <c r="B194" s="4">
        <v>45658</v>
      </c>
      <c r="C194" s="3" t="s">
        <v>27</v>
      </c>
      <c r="D194" s="3" t="s">
        <v>16</v>
      </c>
      <c r="E194" s="3">
        <v>81796.740000000005</v>
      </c>
      <c r="F194" s="3">
        <v>6177</v>
      </c>
      <c r="G194" s="3">
        <v>0.16400000000000001</v>
      </c>
      <c r="H194" s="3">
        <v>14</v>
      </c>
      <c r="I194" s="3">
        <v>87.9</v>
      </c>
      <c r="J194" s="3">
        <v>0.53</v>
      </c>
      <c r="K194" s="3">
        <v>0</v>
      </c>
      <c r="L194" s="3">
        <v>3.2</v>
      </c>
      <c r="M194" s="3">
        <v>643428.85</v>
      </c>
      <c r="N194" s="3">
        <v>94477.63</v>
      </c>
    </row>
    <row r="195" spans="1:14">
      <c r="A195" s="3" t="s">
        <v>70</v>
      </c>
      <c r="B195" s="4">
        <v>45689</v>
      </c>
      <c r="C195" s="3" t="s">
        <v>27</v>
      </c>
      <c r="D195" s="3" t="s">
        <v>16</v>
      </c>
      <c r="E195" s="3">
        <v>51133.43</v>
      </c>
      <c r="F195" s="3">
        <v>5150</v>
      </c>
      <c r="G195" s="3">
        <v>0.15</v>
      </c>
      <c r="H195" s="3">
        <v>12</v>
      </c>
      <c r="I195" s="3">
        <v>88.5</v>
      </c>
      <c r="J195" s="3">
        <v>1.54</v>
      </c>
      <c r="K195" s="3">
        <v>0</v>
      </c>
      <c r="L195" s="3">
        <v>3.2</v>
      </c>
      <c r="M195" s="3">
        <v>611924.27</v>
      </c>
      <c r="N195" s="3">
        <v>115488.75</v>
      </c>
    </row>
    <row r="196" spans="1:14">
      <c r="A196" s="3" t="s">
        <v>70</v>
      </c>
      <c r="B196" s="4">
        <v>45717</v>
      </c>
      <c r="C196" s="3" t="s">
        <v>27</v>
      </c>
      <c r="D196" s="3" t="s">
        <v>16</v>
      </c>
      <c r="E196" s="3">
        <v>40220.18</v>
      </c>
      <c r="F196" s="3">
        <v>3783</v>
      </c>
      <c r="G196" s="3">
        <v>8.8999999999999996E-2</v>
      </c>
      <c r="H196" s="3">
        <v>14</v>
      </c>
      <c r="I196" s="3">
        <v>86.6</v>
      </c>
      <c r="J196" s="3">
        <v>3.63</v>
      </c>
      <c r="K196" s="3">
        <v>0</v>
      </c>
      <c r="L196" s="3">
        <v>3.7</v>
      </c>
      <c r="M196" s="3">
        <v>559422.02</v>
      </c>
      <c r="N196" s="3">
        <v>73528.740000000005</v>
      </c>
    </row>
    <row r="197" spans="1:14">
      <c r="A197" s="3" t="s">
        <v>70</v>
      </c>
      <c r="B197" s="4">
        <v>45748</v>
      </c>
      <c r="C197" s="3" t="s">
        <v>27</v>
      </c>
      <c r="D197" s="3" t="s">
        <v>16</v>
      </c>
      <c r="E197" s="3">
        <v>41657.64</v>
      </c>
      <c r="F197" s="3">
        <v>3135</v>
      </c>
      <c r="G197" s="3">
        <v>0.22900000000000001</v>
      </c>
      <c r="H197" s="3">
        <v>7</v>
      </c>
      <c r="I197" s="3">
        <v>85.4</v>
      </c>
      <c r="J197" s="3">
        <v>13.48</v>
      </c>
      <c r="K197" s="3">
        <v>0</v>
      </c>
      <c r="L197" s="5">
        <v>3.9</v>
      </c>
      <c r="M197" s="3">
        <v>449465.06</v>
      </c>
      <c r="N197" s="3">
        <v>65694.78</v>
      </c>
    </row>
    <row r="198" spans="1:14">
      <c r="A198" s="3" t="s">
        <v>71</v>
      </c>
      <c r="B198" s="4">
        <v>45658</v>
      </c>
      <c r="C198" s="3" t="s">
        <v>20</v>
      </c>
      <c r="D198" s="3" t="s">
        <v>16</v>
      </c>
      <c r="E198" s="3">
        <v>71851.45</v>
      </c>
      <c r="F198" s="3">
        <v>4970</v>
      </c>
      <c r="G198" s="3">
        <v>9.8000000000000004E-2</v>
      </c>
      <c r="H198" s="3">
        <v>11</v>
      </c>
      <c r="I198" s="3">
        <v>89.6</v>
      </c>
      <c r="J198" s="3">
        <v>0.2</v>
      </c>
      <c r="K198" s="3">
        <v>0</v>
      </c>
      <c r="L198" s="3">
        <v>4.2</v>
      </c>
      <c r="M198" s="3">
        <v>691447.43</v>
      </c>
      <c r="N198" s="3">
        <v>114077.69</v>
      </c>
    </row>
    <row r="199" spans="1:14">
      <c r="A199" s="3" t="s">
        <v>71</v>
      </c>
      <c r="B199" s="4">
        <v>45689</v>
      </c>
      <c r="C199" s="3" t="s">
        <v>20</v>
      </c>
      <c r="D199" s="3" t="s">
        <v>16</v>
      </c>
      <c r="E199" s="3">
        <v>54002.83</v>
      </c>
      <c r="F199" s="3">
        <v>4366</v>
      </c>
      <c r="G199" s="3">
        <v>2.7E-2</v>
      </c>
      <c r="H199" s="3">
        <v>15</v>
      </c>
      <c r="I199" s="3">
        <v>90.6</v>
      </c>
      <c r="J199" s="3">
        <v>12.82</v>
      </c>
      <c r="K199" s="3">
        <v>0</v>
      </c>
      <c r="L199" s="3">
        <v>4.5999999999999996</v>
      </c>
      <c r="M199" s="3">
        <v>574066.61</v>
      </c>
      <c r="N199" s="3">
        <v>124674.67</v>
      </c>
    </row>
    <row r="200" spans="1:14">
      <c r="A200" s="3" t="s">
        <v>71</v>
      </c>
      <c r="B200" s="4">
        <v>45717</v>
      </c>
      <c r="C200" s="3" t="s">
        <v>20</v>
      </c>
      <c r="D200" s="3" t="s">
        <v>16</v>
      </c>
      <c r="E200" s="3">
        <v>54479.33</v>
      </c>
      <c r="F200" s="3">
        <v>5012</v>
      </c>
      <c r="G200" s="3">
        <v>0.28399999999999997</v>
      </c>
      <c r="H200" s="3">
        <v>13</v>
      </c>
      <c r="I200" s="3">
        <v>86</v>
      </c>
      <c r="J200" s="3">
        <v>2.2400000000000002</v>
      </c>
      <c r="K200" s="3">
        <v>1</v>
      </c>
      <c r="L200" s="3">
        <v>4.3</v>
      </c>
      <c r="M200" s="3">
        <v>578949.84</v>
      </c>
      <c r="N200" s="3">
        <v>80253.649999999994</v>
      </c>
    </row>
    <row r="201" spans="1:14">
      <c r="A201" s="3" t="s">
        <v>71</v>
      </c>
      <c r="B201" s="4">
        <v>45748</v>
      </c>
      <c r="C201" s="3" t="s">
        <v>20</v>
      </c>
      <c r="D201" s="3" t="s">
        <v>16</v>
      </c>
      <c r="E201" s="3">
        <v>61391.8</v>
      </c>
      <c r="F201" s="3">
        <v>5575</v>
      </c>
      <c r="G201" s="3">
        <v>0.189</v>
      </c>
      <c r="H201" s="3">
        <v>18</v>
      </c>
      <c r="I201" s="3">
        <v>90</v>
      </c>
      <c r="J201" s="3">
        <v>1.8</v>
      </c>
      <c r="K201" s="3">
        <v>0</v>
      </c>
      <c r="L201" s="3">
        <v>4.8</v>
      </c>
      <c r="M201" s="3">
        <v>735786.64</v>
      </c>
      <c r="N201" s="3">
        <v>126540.66</v>
      </c>
    </row>
    <row r="202" spans="1:14">
      <c r="A202" s="3" t="s">
        <v>72</v>
      </c>
      <c r="B202" s="4">
        <v>45658</v>
      </c>
      <c r="C202" s="3" t="s">
        <v>15</v>
      </c>
      <c r="D202" s="3" t="s">
        <v>21</v>
      </c>
      <c r="E202" s="3">
        <v>22312.93</v>
      </c>
      <c r="F202" s="3">
        <v>5955</v>
      </c>
      <c r="G202" s="3">
        <v>0.123</v>
      </c>
      <c r="H202" s="3">
        <v>13</v>
      </c>
      <c r="I202" s="3">
        <v>84.2</v>
      </c>
      <c r="J202" s="3">
        <v>0.41</v>
      </c>
      <c r="K202" s="3">
        <v>1</v>
      </c>
      <c r="L202" s="3">
        <v>4.5999999999999996</v>
      </c>
      <c r="M202" s="3">
        <v>598904.9</v>
      </c>
      <c r="N202" s="3">
        <v>72861</v>
      </c>
    </row>
    <row r="203" spans="1:14">
      <c r="A203" s="3" t="s">
        <v>72</v>
      </c>
      <c r="B203" s="4">
        <v>45689</v>
      </c>
      <c r="C203" s="3" t="s">
        <v>15</v>
      </c>
      <c r="D203" s="3" t="s">
        <v>21</v>
      </c>
      <c r="E203" s="3">
        <v>78111.97</v>
      </c>
      <c r="F203" s="3">
        <v>6389</v>
      </c>
      <c r="G203" s="3">
        <v>0.15</v>
      </c>
      <c r="H203" s="3">
        <v>13</v>
      </c>
      <c r="I203" s="3">
        <v>83.9</v>
      </c>
      <c r="J203" s="3">
        <v>3.05</v>
      </c>
      <c r="K203" s="3">
        <v>0</v>
      </c>
      <c r="L203" s="3">
        <v>4.8</v>
      </c>
      <c r="M203" s="3">
        <v>787715.51</v>
      </c>
      <c r="N203" s="3">
        <v>128969.62</v>
      </c>
    </row>
    <row r="204" spans="1:14">
      <c r="A204" s="3" t="s">
        <v>72</v>
      </c>
      <c r="B204" s="4">
        <v>45717</v>
      </c>
      <c r="C204" s="3" t="s">
        <v>15</v>
      </c>
      <c r="D204" s="3" t="s">
        <v>21</v>
      </c>
      <c r="E204" s="3">
        <v>35203.230000000003</v>
      </c>
      <c r="F204" s="3">
        <v>6896</v>
      </c>
      <c r="G204" s="3">
        <v>3.2000000000000001E-2</v>
      </c>
      <c r="H204" s="3">
        <v>14</v>
      </c>
      <c r="I204" s="3">
        <v>80.8</v>
      </c>
      <c r="J204" s="3">
        <v>8.44</v>
      </c>
      <c r="K204" s="3">
        <v>1</v>
      </c>
      <c r="L204" s="3">
        <v>5</v>
      </c>
      <c r="M204" s="3">
        <v>607084.92000000004</v>
      </c>
      <c r="N204" s="3">
        <v>98558.49</v>
      </c>
    </row>
    <row r="205" spans="1:14">
      <c r="A205" s="3" t="s">
        <v>72</v>
      </c>
      <c r="B205" s="4">
        <v>45748</v>
      </c>
      <c r="C205" s="3" t="s">
        <v>15</v>
      </c>
      <c r="D205" s="3" t="s">
        <v>21</v>
      </c>
      <c r="E205" s="3">
        <v>64104.28</v>
      </c>
      <c r="F205" s="3">
        <v>6015</v>
      </c>
      <c r="G205" s="3">
        <v>0.127</v>
      </c>
      <c r="H205" s="3">
        <v>15</v>
      </c>
      <c r="I205" s="3">
        <v>88.7</v>
      </c>
      <c r="J205" s="3">
        <v>0.78</v>
      </c>
      <c r="K205" s="3">
        <v>0</v>
      </c>
      <c r="L205" s="3">
        <v>4</v>
      </c>
      <c r="M205" s="3">
        <v>650795.49</v>
      </c>
      <c r="N205" s="3">
        <v>103035.89</v>
      </c>
    </row>
    <row r="206" spans="1:14">
      <c r="A206" s="3" t="s">
        <v>73</v>
      </c>
      <c r="B206" s="4">
        <v>45658</v>
      </c>
      <c r="C206" s="3" t="s">
        <v>15</v>
      </c>
      <c r="D206" s="3" t="s">
        <v>28</v>
      </c>
      <c r="E206" s="3">
        <v>92090.14</v>
      </c>
      <c r="F206" s="3">
        <v>9476</v>
      </c>
      <c r="G206" s="3">
        <v>7.0000000000000007E-2</v>
      </c>
      <c r="H206" s="3">
        <v>24</v>
      </c>
      <c r="I206" s="3">
        <v>94.3</v>
      </c>
      <c r="J206" s="3">
        <v>0.87</v>
      </c>
      <c r="K206" s="3">
        <v>0</v>
      </c>
      <c r="L206" s="3">
        <v>3.7</v>
      </c>
      <c r="M206" s="3">
        <v>825060.52</v>
      </c>
      <c r="N206" s="3">
        <v>143613.15</v>
      </c>
    </row>
    <row r="207" spans="1:14">
      <c r="A207" s="3" t="s">
        <v>73</v>
      </c>
      <c r="B207" s="4">
        <v>45689</v>
      </c>
      <c r="C207" s="3" t="s">
        <v>15</v>
      </c>
      <c r="D207" s="3" t="s">
        <v>28</v>
      </c>
      <c r="E207" s="3">
        <v>54300.87</v>
      </c>
      <c r="F207" s="3">
        <v>7875</v>
      </c>
      <c r="G207" s="3">
        <v>0.107</v>
      </c>
      <c r="H207" s="3">
        <v>19</v>
      </c>
      <c r="I207" s="3">
        <v>94.1</v>
      </c>
      <c r="J207" s="3">
        <v>0.95</v>
      </c>
      <c r="K207" s="3">
        <v>0</v>
      </c>
      <c r="L207" s="3">
        <v>3.7</v>
      </c>
      <c r="M207" s="3">
        <v>795464.47</v>
      </c>
      <c r="N207" s="3">
        <v>161150.51999999999</v>
      </c>
    </row>
    <row r="208" spans="1:14">
      <c r="A208" s="3" t="s">
        <v>73</v>
      </c>
      <c r="B208" s="4">
        <v>45717</v>
      </c>
      <c r="C208" s="3" t="s">
        <v>15</v>
      </c>
      <c r="D208" s="3" t="s">
        <v>28</v>
      </c>
      <c r="E208" s="3">
        <v>37983.35</v>
      </c>
      <c r="F208" s="3">
        <v>9283</v>
      </c>
      <c r="G208" s="3">
        <v>0.14899999999999999</v>
      </c>
      <c r="H208" s="3">
        <v>19</v>
      </c>
      <c r="I208" s="3">
        <v>83.2</v>
      </c>
      <c r="J208" s="3">
        <v>3.82</v>
      </c>
      <c r="K208" s="3">
        <v>0</v>
      </c>
      <c r="L208" s="3">
        <v>3.7</v>
      </c>
      <c r="M208" s="3">
        <v>671868.59</v>
      </c>
      <c r="N208" s="3">
        <v>71003.28</v>
      </c>
    </row>
    <row r="209" spans="1:14">
      <c r="A209" s="3" t="s">
        <v>73</v>
      </c>
      <c r="B209" s="4">
        <v>45748</v>
      </c>
      <c r="C209" s="3" t="s">
        <v>15</v>
      </c>
      <c r="D209" s="3" t="s">
        <v>28</v>
      </c>
      <c r="E209" s="3">
        <v>56413.83</v>
      </c>
      <c r="F209" s="3">
        <v>8303</v>
      </c>
      <c r="G209" s="3">
        <v>0.11600000000000001</v>
      </c>
      <c r="H209" s="3">
        <v>18</v>
      </c>
      <c r="I209" s="3">
        <v>93.6</v>
      </c>
      <c r="J209" s="3">
        <v>2.7</v>
      </c>
      <c r="K209" s="3">
        <v>0</v>
      </c>
      <c r="L209" s="3">
        <v>3.7</v>
      </c>
      <c r="M209" s="3">
        <v>675917.63</v>
      </c>
      <c r="N209" s="3">
        <v>112564.75</v>
      </c>
    </row>
    <row r="210" spans="1:14">
      <c r="A210" s="3" t="s">
        <v>74</v>
      </c>
      <c r="B210" s="4">
        <v>45658</v>
      </c>
      <c r="C210" s="3" t="s">
        <v>15</v>
      </c>
      <c r="D210" s="3" t="s">
        <v>18</v>
      </c>
      <c r="E210" s="3">
        <v>63457.19</v>
      </c>
      <c r="F210" s="3">
        <v>10125</v>
      </c>
      <c r="G210" s="3">
        <v>9.7000000000000003E-2</v>
      </c>
      <c r="H210" s="3">
        <v>24</v>
      </c>
      <c r="I210" s="3">
        <v>87</v>
      </c>
      <c r="J210" s="3">
        <v>3.84</v>
      </c>
      <c r="K210" s="3">
        <v>1</v>
      </c>
      <c r="L210" s="3">
        <v>3.7</v>
      </c>
      <c r="M210" s="3">
        <v>810446.53</v>
      </c>
      <c r="N210" s="3">
        <v>200575.34</v>
      </c>
    </row>
    <row r="211" spans="1:14">
      <c r="A211" s="3" t="s">
        <v>74</v>
      </c>
      <c r="B211" s="4">
        <v>45689</v>
      </c>
      <c r="C211" s="3" t="s">
        <v>15</v>
      </c>
      <c r="D211" s="3" t="s">
        <v>18</v>
      </c>
      <c r="E211" s="3">
        <v>62949.7</v>
      </c>
      <c r="F211" s="3">
        <v>9458</v>
      </c>
      <c r="G211" s="3">
        <v>0.17100000000000001</v>
      </c>
      <c r="H211" s="3">
        <v>19</v>
      </c>
      <c r="I211" s="3">
        <v>84.9</v>
      </c>
      <c r="J211" s="3">
        <v>5.09</v>
      </c>
      <c r="K211" s="3">
        <v>0</v>
      </c>
      <c r="L211" s="3">
        <v>3.3</v>
      </c>
      <c r="M211" s="3">
        <v>691288.19</v>
      </c>
      <c r="N211" s="3">
        <v>159074.14000000001</v>
      </c>
    </row>
    <row r="212" spans="1:14">
      <c r="A212" s="3" t="s">
        <v>74</v>
      </c>
      <c r="B212" s="4">
        <v>45717</v>
      </c>
      <c r="C212" s="3" t="s">
        <v>15</v>
      </c>
      <c r="D212" s="3" t="s">
        <v>18</v>
      </c>
      <c r="E212" s="3">
        <v>107970.19</v>
      </c>
      <c r="F212" s="3">
        <v>12870</v>
      </c>
      <c r="G212" s="3">
        <v>2.9000000000000001E-2</v>
      </c>
      <c r="H212" s="3">
        <v>31</v>
      </c>
      <c r="I212" s="3">
        <v>91.7</v>
      </c>
      <c r="J212" s="3">
        <v>3.82</v>
      </c>
      <c r="K212" s="3">
        <v>1</v>
      </c>
      <c r="L212" s="3">
        <v>3.7</v>
      </c>
      <c r="M212" s="3">
        <v>946833.54</v>
      </c>
      <c r="N212" s="3">
        <v>184540.31</v>
      </c>
    </row>
    <row r="213" spans="1:14">
      <c r="A213" s="3" t="s">
        <v>74</v>
      </c>
      <c r="B213" s="4">
        <v>45748</v>
      </c>
      <c r="C213" s="3" t="s">
        <v>15</v>
      </c>
      <c r="D213" s="3" t="s">
        <v>18</v>
      </c>
      <c r="E213" s="3">
        <v>49405.75</v>
      </c>
      <c r="F213" s="3">
        <v>9752</v>
      </c>
      <c r="G213" s="3">
        <v>9.2999999999999999E-2</v>
      </c>
      <c r="H213" s="3">
        <v>21</v>
      </c>
      <c r="I213" s="3">
        <v>87</v>
      </c>
      <c r="J213" s="3">
        <v>12.28</v>
      </c>
      <c r="K213" s="3">
        <v>0</v>
      </c>
      <c r="L213" s="3">
        <v>4.0999999999999996</v>
      </c>
      <c r="M213" s="3">
        <v>761963.23</v>
      </c>
      <c r="N213" s="3">
        <v>150113.60999999999</v>
      </c>
    </row>
    <row r="214" spans="1:14">
      <c r="A214" s="3" t="s">
        <v>75</v>
      </c>
      <c r="B214" s="4">
        <v>45658</v>
      </c>
      <c r="C214" s="3" t="s">
        <v>27</v>
      </c>
      <c r="D214" s="3" t="s">
        <v>16</v>
      </c>
      <c r="E214" s="3">
        <v>50887.46</v>
      </c>
      <c r="F214" s="3">
        <v>9505</v>
      </c>
      <c r="G214" s="3">
        <v>9.0999999999999998E-2</v>
      </c>
      <c r="H214" s="3">
        <v>25</v>
      </c>
      <c r="I214" s="3">
        <v>89.7</v>
      </c>
      <c r="J214" s="3">
        <v>2.8</v>
      </c>
      <c r="K214" s="3">
        <v>0</v>
      </c>
      <c r="L214" s="3">
        <v>4.3</v>
      </c>
      <c r="M214" s="3">
        <v>812152.6</v>
      </c>
      <c r="N214" s="3">
        <v>138419.43</v>
      </c>
    </row>
    <row r="215" spans="1:14">
      <c r="A215" s="3" t="s">
        <v>75</v>
      </c>
      <c r="B215" s="4">
        <v>45689</v>
      </c>
      <c r="C215" s="3" t="s">
        <v>27</v>
      </c>
      <c r="D215" s="3" t="s">
        <v>16</v>
      </c>
      <c r="E215" s="3">
        <v>41819.449999999997</v>
      </c>
      <c r="F215" s="3">
        <v>9412</v>
      </c>
      <c r="G215" s="3">
        <v>0.15</v>
      </c>
      <c r="H215" s="3">
        <v>22</v>
      </c>
      <c r="I215" s="3">
        <v>91</v>
      </c>
      <c r="J215" s="3">
        <v>3.67</v>
      </c>
      <c r="K215" s="3">
        <v>0</v>
      </c>
      <c r="L215" s="3">
        <v>4.2</v>
      </c>
      <c r="M215" s="3">
        <v>804975.5</v>
      </c>
      <c r="N215" s="3">
        <v>140054.5</v>
      </c>
    </row>
    <row r="216" spans="1:14">
      <c r="A216" s="3" t="s">
        <v>75</v>
      </c>
      <c r="B216" s="4">
        <v>45717</v>
      </c>
      <c r="C216" s="3" t="s">
        <v>27</v>
      </c>
      <c r="D216" s="3" t="s">
        <v>16</v>
      </c>
      <c r="E216" s="3">
        <v>35296.54</v>
      </c>
      <c r="F216" s="3">
        <v>9644</v>
      </c>
      <c r="G216" s="3">
        <v>0</v>
      </c>
      <c r="H216" s="3">
        <v>22</v>
      </c>
      <c r="I216" s="3">
        <v>88</v>
      </c>
      <c r="J216" s="3">
        <v>2.81</v>
      </c>
      <c r="K216" s="3">
        <v>0</v>
      </c>
      <c r="L216" s="3">
        <v>4.7</v>
      </c>
      <c r="M216" s="3">
        <v>752321.72</v>
      </c>
      <c r="N216" s="3">
        <v>137788.51</v>
      </c>
    </row>
    <row r="217" spans="1:14">
      <c r="A217" s="3" t="s">
        <v>75</v>
      </c>
      <c r="B217" s="4">
        <v>45748</v>
      </c>
      <c r="C217" s="3" t="s">
        <v>27</v>
      </c>
      <c r="D217" s="3" t="s">
        <v>16</v>
      </c>
      <c r="E217" s="3">
        <v>47391.09</v>
      </c>
      <c r="F217" s="3">
        <v>11224</v>
      </c>
      <c r="G217" s="3">
        <v>0.14699999999999999</v>
      </c>
      <c r="H217" s="3">
        <v>25</v>
      </c>
      <c r="I217" s="3">
        <v>88.4</v>
      </c>
      <c r="J217" s="3">
        <v>2.44</v>
      </c>
      <c r="K217" s="3">
        <v>0</v>
      </c>
      <c r="L217" s="3">
        <v>4.9000000000000004</v>
      </c>
      <c r="M217" s="3">
        <v>836908.24</v>
      </c>
      <c r="N217" s="3">
        <v>141090.26</v>
      </c>
    </row>
    <row r="218" spans="1:14">
      <c r="A218" s="3" t="s">
        <v>76</v>
      </c>
      <c r="B218" s="4">
        <v>45658</v>
      </c>
      <c r="C218" s="3" t="s">
        <v>20</v>
      </c>
      <c r="D218" s="3" t="s">
        <v>21</v>
      </c>
      <c r="E218" s="3">
        <v>69180.539999999994</v>
      </c>
      <c r="F218" s="3">
        <v>5394</v>
      </c>
      <c r="G218" s="3">
        <v>0.126</v>
      </c>
      <c r="H218" s="3">
        <v>12</v>
      </c>
      <c r="I218" s="3">
        <v>82.9</v>
      </c>
      <c r="J218" s="3">
        <v>3.27</v>
      </c>
      <c r="K218" s="3">
        <v>0</v>
      </c>
      <c r="L218" s="3">
        <v>3.3</v>
      </c>
      <c r="M218" s="3">
        <v>674289.1</v>
      </c>
      <c r="N218" s="3">
        <v>117773.79</v>
      </c>
    </row>
    <row r="219" spans="1:14">
      <c r="A219" s="3" t="s">
        <v>76</v>
      </c>
      <c r="B219" s="4">
        <v>45689</v>
      </c>
      <c r="C219" s="3" t="s">
        <v>20</v>
      </c>
      <c r="D219" s="3" t="s">
        <v>21</v>
      </c>
      <c r="E219" s="3">
        <v>33987.33</v>
      </c>
      <c r="F219" s="3">
        <v>5014</v>
      </c>
      <c r="G219" s="3">
        <v>0.246</v>
      </c>
      <c r="H219" s="3">
        <v>17</v>
      </c>
      <c r="I219" s="3">
        <v>94.3</v>
      </c>
      <c r="J219" s="3">
        <v>10.34</v>
      </c>
      <c r="K219" s="3">
        <v>0</v>
      </c>
      <c r="L219" s="3">
        <v>3.9</v>
      </c>
      <c r="M219" s="3">
        <v>622892.42000000004</v>
      </c>
      <c r="N219" s="3">
        <v>101032.52</v>
      </c>
    </row>
    <row r="220" spans="1:14">
      <c r="A220" s="3" t="s">
        <v>76</v>
      </c>
      <c r="B220" s="4">
        <v>45717</v>
      </c>
      <c r="C220" s="3" t="s">
        <v>20</v>
      </c>
      <c r="D220" s="3" t="s">
        <v>21</v>
      </c>
      <c r="E220" s="3">
        <v>58785.33</v>
      </c>
      <c r="F220" s="3">
        <v>4467</v>
      </c>
      <c r="G220" s="3">
        <v>0.22900000000000001</v>
      </c>
      <c r="H220" s="3">
        <v>14</v>
      </c>
      <c r="I220" s="3">
        <v>90.7</v>
      </c>
      <c r="J220" s="3">
        <v>1.92</v>
      </c>
      <c r="K220" s="3">
        <v>0</v>
      </c>
      <c r="L220" s="3">
        <v>3.7</v>
      </c>
      <c r="M220" s="3">
        <v>673348.56</v>
      </c>
      <c r="N220" s="3">
        <v>69464.59</v>
      </c>
    </row>
    <row r="221" spans="1:14">
      <c r="A221" s="3" t="s">
        <v>76</v>
      </c>
      <c r="B221" s="4">
        <v>45748</v>
      </c>
      <c r="C221" s="3" t="s">
        <v>20</v>
      </c>
      <c r="D221" s="3" t="s">
        <v>21</v>
      </c>
      <c r="E221" s="3">
        <v>16451.849999999999</v>
      </c>
      <c r="F221" s="3">
        <v>4678</v>
      </c>
      <c r="G221" s="3">
        <v>0.13300000000000001</v>
      </c>
      <c r="H221" s="3">
        <v>11</v>
      </c>
      <c r="I221" s="3">
        <v>95.9</v>
      </c>
      <c r="J221" s="3">
        <v>3.1</v>
      </c>
      <c r="K221" s="3">
        <v>0</v>
      </c>
      <c r="L221" s="3">
        <v>3.9</v>
      </c>
      <c r="M221" s="3">
        <v>606278.30000000005</v>
      </c>
      <c r="N221" s="3">
        <v>102213.26</v>
      </c>
    </row>
    <row r="222" spans="1:14">
      <c r="A222" s="3" t="s">
        <v>77</v>
      </c>
      <c r="B222" s="4">
        <v>45658</v>
      </c>
      <c r="C222" s="3" t="s">
        <v>15</v>
      </c>
      <c r="D222" s="3" t="s">
        <v>18</v>
      </c>
      <c r="E222" s="3">
        <v>53367.73</v>
      </c>
      <c r="F222" s="3">
        <v>7291</v>
      </c>
      <c r="G222" s="3">
        <v>0.14599999999999999</v>
      </c>
      <c r="H222" s="3">
        <v>18</v>
      </c>
      <c r="I222" s="3">
        <v>90.6</v>
      </c>
      <c r="J222" s="3">
        <v>6.34</v>
      </c>
      <c r="K222" s="3">
        <v>1</v>
      </c>
      <c r="L222" s="3">
        <v>3.8</v>
      </c>
      <c r="M222" s="3">
        <v>712219.81</v>
      </c>
      <c r="N222" s="3">
        <v>85906.54</v>
      </c>
    </row>
    <row r="223" spans="1:14">
      <c r="A223" s="3" t="s">
        <v>77</v>
      </c>
      <c r="B223" s="4">
        <v>45689</v>
      </c>
      <c r="C223" s="3" t="s">
        <v>15</v>
      </c>
      <c r="D223" s="3" t="s">
        <v>18</v>
      </c>
      <c r="E223" s="3">
        <v>27194.639999999999</v>
      </c>
      <c r="F223" s="3">
        <v>7404</v>
      </c>
      <c r="G223" s="3">
        <v>8.7999999999999995E-2</v>
      </c>
      <c r="H223" s="3">
        <v>18</v>
      </c>
      <c r="I223" s="3">
        <v>90.2</v>
      </c>
      <c r="J223" s="3">
        <v>1.2</v>
      </c>
      <c r="K223" s="3">
        <v>0</v>
      </c>
      <c r="L223" s="3">
        <v>3.4</v>
      </c>
      <c r="M223" s="3">
        <v>672670.54</v>
      </c>
      <c r="N223" s="3">
        <v>132684.18</v>
      </c>
    </row>
    <row r="224" spans="1:14">
      <c r="A224" s="3" t="s">
        <v>77</v>
      </c>
      <c r="B224" s="4">
        <v>45717</v>
      </c>
      <c r="C224" s="3" t="s">
        <v>15</v>
      </c>
      <c r="D224" s="3" t="s">
        <v>18</v>
      </c>
      <c r="E224" s="3">
        <v>66962.740000000005</v>
      </c>
      <c r="F224" s="3">
        <v>7880</v>
      </c>
      <c r="G224" s="3">
        <v>0.11600000000000001</v>
      </c>
      <c r="H224" s="3">
        <v>19</v>
      </c>
      <c r="I224" s="3">
        <v>90.4</v>
      </c>
      <c r="J224" s="3">
        <v>4.5</v>
      </c>
      <c r="K224" s="3">
        <v>0</v>
      </c>
      <c r="L224" s="3">
        <v>3.3</v>
      </c>
      <c r="M224" s="3">
        <v>732667.92</v>
      </c>
      <c r="N224" s="3">
        <v>128654.46</v>
      </c>
    </row>
    <row r="225" spans="1:14">
      <c r="A225" s="3" t="s">
        <v>77</v>
      </c>
      <c r="B225" s="4">
        <v>45748</v>
      </c>
      <c r="C225" s="3" t="s">
        <v>15</v>
      </c>
      <c r="D225" s="3" t="s">
        <v>18</v>
      </c>
      <c r="E225" s="3">
        <v>73540.990000000005</v>
      </c>
      <c r="F225" s="3">
        <v>8773</v>
      </c>
      <c r="G225" s="3">
        <v>3.5000000000000003E-2</v>
      </c>
      <c r="H225" s="3">
        <v>21</v>
      </c>
      <c r="I225" s="3">
        <v>84.4</v>
      </c>
      <c r="J225" s="3">
        <v>6.68</v>
      </c>
      <c r="K225" s="3">
        <v>0</v>
      </c>
      <c r="L225" s="3">
        <v>3.6</v>
      </c>
      <c r="M225" s="3">
        <v>723531.4</v>
      </c>
      <c r="N225" s="3">
        <v>108794.85</v>
      </c>
    </row>
    <row r="226" spans="1:14">
      <c r="A226" s="3" t="s">
        <v>78</v>
      </c>
      <c r="B226" s="4">
        <v>45658</v>
      </c>
      <c r="C226" s="3" t="s">
        <v>15</v>
      </c>
      <c r="D226" s="3" t="s">
        <v>28</v>
      </c>
      <c r="E226" s="3">
        <v>68212.289999999994</v>
      </c>
      <c r="F226" s="3">
        <v>4713</v>
      </c>
      <c r="G226" s="3">
        <v>0.19800000000000001</v>
      </c>
      <c r="H226" s="3">
        <v>15</v>
      </c>
      <c r="I226" s="3">
        <v>82.6</v>
      </c>
      <c r="J226" s="3">
        <v>4.07</v>
      </c>
      <c r="K226" s="3">
        <v>1</v>
      </c>
      <c r="L226" s="3">
        <v>3</v>
      </c>
      <c r="M226" s="3">
        <v>641564.6</v>
      </c>
      <c r="N226" s="3">
        <v>90468.96</v>
      </c>
    </row>
    <row r="227" spans="1:14">
      <c r="A227" s="3" t="s">
        <v>78</v>
      </c>
      <c r="B227" s="4">
        <v>45689</v>
      </c>
      <c r="C227" s="3" t="s">
        <v>15</v>
      </c>
      <c r="D227" s="3" t="s">
        <v>28</v>
      </c>
      <c r="E227" s="3">
        <v>57225.98</v>
      </c>
      <c r="F227" s="3">
        <v>2842</v>
      </c>
      <c r="G227" s="3">
        <v>0.112</v>
      </c>
      <c r="H227" s="3">
        <v>10</v>
      </c>
      <c r="I227" s="3">
        <v>79.5</v>
      </c>
      <c r="J227" s="3">
        <v>5.45</v>
      </c>
      <c r="K227" s="3">
        <v>0</v>
      </c>
      <c r="L227" s="3">
        <v>3.4</v>
      </c>
      <c r="M227" s="3">
        <v>536545.49</v>
      </c>
      <c r="N227" s="3">
        <v>97917.45</v>
      </c>
    </row>
    <row r="228" spans="1:14">
      <c r="A228" s="3" t="s">
        <v>78</v>
      </c>
      <c r="B228" s="4">
        <v>45717</v>
      </c>
      <c r="C228" s="3" t="s">
        <v>15</v>
      </c>
      <c r="D228" s="3" t="s">
        <v>28</v>
      </c>
      <c r="E228" s="3">
        <v>42932.02</v>
      </c>
      <c r="F228" s="3">
        <v>3872</v>
      </c>
      <c r="G228" s="3">
        <v>0.17100000000000001</v>
      </c>
      <c r="H228" s="3">
        <v>12</v>
      </c>
      <c r="I228" s="3">
        <v>83.2</v>
      </c>
      <c r="J228" s="3">
        <v>15.58</v>
      </c>
      <c r="K228" s="3">
        <v>0</v>
      </c>
      <c r="L228" s="3">
        <v>3.3</v>
      </c>
      <c r="M228" s="3">
        <v>527681.56000000006</v>
      </c>
      <c r="N228" s="3">
        <v>63153.05</v>
      </c>
    </row>
    <row r="229" spans="1:14">
      <c r="A229" s="3" t="s">
        <v>78</v>
      </c>
      <c r="B229" s="4">
        <v>45748</v>
      </c>
      <c r="C229" s="3" t="s">
        <v>15</v>
      </c>
      <c r="D229" s="3" t="s">
        <v>28</v>
      </c>
      <c r="E229" s="3">
        <v>39341.449999999997</v>
      </c>
      <c r="F229" s="3">
        <v>1375</v>
      </c>
      <c r="G229" s="3">
        <v>9.2999999999999999E-2</v>
      </c>
      <c r="H229" s="3">
        <v>5</v>
      </c>
      <c r="I229" s="3">
        <v>95</v>
      </c>
      <c r="J229" s="3">
        <v>5.32</v>
      </c>
      <c r="K229" s="3">
        <v>0</v>
      </c>
      <c r="L229" s="5">
        <v>3.9</v>
      </c>
      <c r="M229" s="3">
        <v>529598.93999999994</v>
      </c>
      <c r="N229" s="3">
        <v>84334.33</v>
      </c>
    </row>
    <row r="230" spans="1:14">
      <c r="A230" s="3" t="s">
        <v>79</v>
      </c>
      <c r="B230" s="4">
        <v>45658</v>
      </c>
      <c r="C230" s="3" t="s">
        <v>15</v>
      </c>
      <c r="D230" s="3" t="s">
        <v>18</v>
      </c>
      <c r="E230" s="3">
        <v>37324.230000000003</v>
      </c>
      <c r="F230" s="3">
        <v>5957</v>
      </c>
      <c r="G230" s="3">
        <v>7.0999999999999994E-2</v>
      </c>
      <c r="H230" s="3">
        <v>12</v>
      </c>
      <c r="I230" s="3">
        <v>85.9</v>
      </c>
      <c r="J230" s="3">
        <v>0.37</v>
      </c>
      <c r="K230" s="3">
        <v>0</v>
      </c>
      <c r="L230" s="3">
        <v>3.8</v>
      </c>
      <c r="M230" s="3">
        <v>570963.31000000006</v>
      </c>
      <c r="N230" s="3">
        <v>87342.25</v>
      </c>
    </row>
    <row r="231" spans="1:14">
      <c r="A231" s="3" t="s">
        <v>79</v>
      </c>
      <c r="B231" s="4">
        <v>45689</v>
      </c>
      <c r="C231" s="3" t="s">
        <v>15</v>
      </c>
      <c r="D231" s="3" t="s">
        <v>18</v>
      </c>
      <c r="E231" s="3">
        <v>113736</v>
      </c>
      <c r="F231" s="3">
        <v>8961</v>
      </c>
      <c r="G231" s="3">
        <v>0.20200000000000001</v>
      </c>
      <c r="H231" s="3">
        <v>24</v>
      </c>
      <c r="I231" s="3">
        <v>86.2</v>
      </c>
      <c r="J231" s="3">
        <v>21.63</v>
      </c>
      <c r="K231" s="3">
        <v>0</v>
      </c>
      <c r="L231" s="3">
        <v>4</v>
      </c>
      <c r="M231" s="3">
        <v>870937.4</v>
      </c>
      <c r="N231" s="3">
        <v>175282.74</v>
      </c>
    </row>
    <row r="232" spans="1:14">
      <c r="A232" s="3" t="s">
        <v>79</v>
      </c>
      <c r="B232" s="4">
        <v>45717</v>
      </c>
      <c r="C232" s="3" t="s">
        <v>15</v>
      </c>
      <c r="D232" s="3" t="s">
        <v>18</v>
      </c>
      <c r="E232" s="3">
        <v>33173.949999999997</v>
      </c>
      <c r="F232" s="3">
        <v>6545</v>
      </c>
      <c r="G232" s="3">
        <v>0.16900000000000001</v>
      </c>
      <c r="H232" s="3">
        <v>15</v>
      </c>
      <c r="I232" s="3">
        <v>84.4</v>
      </c>
      <c r="J232" s="3">
        <v>2.48</v>
      </c>
      <c r="K232" s="3">
        <v>0</v>
      </c>
      <c r="L232" s="3">
        <v>3.9</v>
      </c>
      <c r="M232" s="3">
        <v>596969.27</v>
      </c>
      <c r="N232" s="3">
        <v>105669.51</v>
      </c>
    </row>
    <row r="233" spans="1:14">
      <c r="A233" s="3" t="s">
        <v>79</v>
      </c>
      <c r="B233" s="4">
        <v>45748</v>
      </c>
      <c r="C233" s="3" t="s">
        <v>15</v>
      </c>
      <c r="D233" s="3" t="s">
        <v>18</v>
      </c>
      <c r="E233" s="3">
        <v>25818.080000000002</v>
      </c>
      <c r="F233" s="3">
        <v>5457</v>
      </c>
      <c r="G233" s="3">
        <v>0</v>
      </c>
      <c r="H233" s="3">
        <v>11</v>
      </c>
      <c r="I233" s="3">
        <v>95.4</v>
      </c>
      <c r="J233" s="5">
        <v>4.5599999999999996</v>
      </c>
      <c r="K233" s="3">
        <v>0</v>
      </c>
      <c r="L233" s="3">
        <v>3.7</v>
      </c>
      <c r="M233" s="3">
        <v>647512.85</v>
      </c>
      <c r="N233" s="3">
        <v>153835.57</v>
      </c>
    </row>
    <row r="234" spans="1:14">
      <c r="A234" s="3" t="s">
        <v>80</v>
      </c>
      <c r="B234" s="4">
        <v>45658</v>
      </c>
      <c r="C234" s="3" t="s">
        <v>27</v>
      </c>
      <c r="D234" s="3" t="s">
        <v>16</v>
      </c>
      <c r="E234" s="3">
        <v>47241.919999999998</v>
      </c>
      <c r="F234" s="3">
        <v>4264</v>
      </c>
      <c r="G234" s="3">
        <v>6.9000000000000006E-2</v>
      </c>
      <c r="H234" s="3">
        <v>13</v>
      </c>
      <c r="I234" s="3">
        <v>95.3</v>
      </c>
      <c r="J234" s="3">
        <v>0.85</v>
      </c>
      <c r="K234" s="3">
        <v>0</v>
      </c>
      <c r="L234" s="3">
        <v>4.3</v>
      </c>
      <c r="M234" s="3">
        <v>658072.14</v>
      </c>
      <c r="N234" s="3">
        <v>110595.89</v>
      </c>
    </row>
    <row r="235" spans="1:14">
      <c r="A235" s="3" t="s">
        <v>80</v>
      </c>
      <c r="B235" s="4">
        <v>45689</v>
      </c>
      <c r="C235" s="3" t="s">
        <v>27</v>
      </c>
      <c r="D235" s="3" t="s">
        <v>16</v>
      </c>
      <c r="E235" s="3">
        <v>61650.79</v>
      </c>
      <c r="F235" s="3">
        <v>5321</v>
      </c>
      <c r="G235" s="3">
        <v>0.126</v>
      </c>
      <c r="H235" s="3">
        <v>17</v>
      </c>
      <c r="I235" s="3">
        <v>89.2</v>
      </c>
      <c r="J235" s="3">
        <v>2.13</v>
      </c>
      <c r="K235" s="3">
        <v>0</v>
      </c>
      <c r="L235" s="3">
        <v>4</v>
      </c>
      <c r="M235" s="3">
        <v>723305.11</v>
      </c>
      <c r="N235" s="3">
        <v>128468.7</v>
      </c>
    </row>
    <row r="236" spans="1:14">
      <c r="A236" s="3" t="s">
        <v>80</v>
      </c>
      <c r="B236" s="4">
        <v>45717</v>
      </c>
      <c r="C236" s="3" t="s">
        <v>27</v>
      </c>
      <c r="D236" s="3" t="s">
        <v>16</v>
      </c>
      <c r="E236" s="3">
        <v>62582.71</v>
      </c>
      <c r="F236" s="3">
        <v>5479</v>
      </c>
      <c r="G236" s="3">
        <v>4.8000000000000001E-2</v>
      </c>
      <c r="H236" s="3">
        <v>16</v>
      </c>
      <c r="I236" s="3">
        <v>81.2</v>
      </c>
      <c r="J236" s="3">
        <v>1.46</v>
      </c>
      <c r="K236" s="3">
        <v>0</v>
      </c>
      <c r="L236" s="3">
        <v>4.5</v>
      </c>
      <c r="M236" s="3">
        <v>640666.53</v>
      </c>
      <c r="N236" s="3">
        <v>134919.16</v>
      </c>
    </row>
    <row r="237" spans="1:14">
      <c r="A237" s="3" t="s">
        <v>80</v>
      </c>
      <c r="B237" s="4">
        <v>45748</v>
      </c>
      <c r="C237" s="3" t="s">
        <v>27</v>
      </c>
      <c r="D237" s="3" t="s">
        <v>16</v>
      </c>
      <c r="E237" s="3">
        <v>47944.14</v>
      </c>
      <c r="F237" s="3">
        <v>6169</v>
      </c>
      <c r="G237" s="3">
        <v>0.11899999999999999</v>
      </c>
      <c r="H237" s="3">
        <v>17</v>
      </c>
      <c r="I237" s="3">
        <v>92.2</v>
      </c>
      <c r="J237" s="3">
        <v>3.02</v>
      </c>
      <c r="K237" s="3">
        <v>0</v>
      </c>
      <c r="L237" s="3">
        <v>4.0999999999999996</v>
      </c>
      <c r="M237" s="3">
        <v>670629.48</v>
      </c>
      <c r="N237" s="3">
        <v>100140.8</v>
      </c>
    </row>
    <row r="238" spans="1:14">
      <c r="A238" s="3" t="s">
        <v>81</v>
      </c>
      <c r="B238" s="4">
        <v>45658</v>
      </c>
      <c r="C238" s="3" t="s">
        <v>27</v>
      </c>
      <c r="D238" s="3" t="s">
        <v>28</v>
      </c>
      <c r="E238" s="3">
        <v>46495.4</v>
      </c>
      <c r="F238" s="3">
        <v>9908</v>
      </c>
      <c r="G238" s="3">
        <v>0.121</v>
      </c>
      <c r="H238" s="3">
        <v>22</v>
      </c>
      <c r="I238" s="3">
        <v>89.4</v>
      </c>
      <c r="J238" s="3">
        <v>3.22</v>
      </c>
      <c r="K238" s="3">
        <v>0</v>
      </c>
      <c r="L238" s="3">
        <v>3.7</v>
      </c>
      <c r="M238" s="3">
        <v>721079.35</v>
      </c>
      <c r="N238" s="3">
        <v>115295.05</v>
      </c>
    </row>
    <row r="239" spans="1:14">
      <c r="A239" s="3" t="s">
        <v>81</v>
      </c>
      <c r="B239" s="4">
        <v>45689</v>
      </c>
      <c r="C239" s="3" t="s">
        <v>27</v>
      </c>
      <c r="D239" s="3" t="s">
        <v>28</v>
      </c>
      <c r="E239" s="3">
        <v>72961.95</v>
      </c>
      <c r="F239" s="3">
        <v>9996</v>
      </c>
      <c r="G239" s="3">
        <v>0.106</v>
      </c>
      <c r="H239" s="3">
        <v>22</v>
      </c>
      <c r="I239" s="3">
        <v>89.1</v>
      </c>
      <c r="J239" s="3">
        <v>15.66</v>
      </c>
      <c r="K239" s="3">
        <v>0</v>
      </c>
      <c r="L239" s="3">
        <v>3.4</v>
      </c>
      <c r="M239" s="3">
        <v>810355.02</v>
      </c>
      <c r="N239" s="3">
        <v>131510</v>
      </c>
    </row>
    <row r="240" spans="1:14">
      <c r="A240" s="3" t="s">
        <v>81</v>
      </c>
      <c r="B240" s="4">
        <v>45717</v>
      </c>
      <c r="C240" s="3" t="s">
        <v>27</v>
      </c>
      <c r="D240" s="3" t="s">
        <v>28</v>
      </c>
      <c r="E240" s="3">
        <v>59060.05</v>
      </c>
      <c r="F240" s="3">
        <v>9702</v>
      </c>
      <c r="G240" s="3">
        <v>0.20100000000000001</v>
      </c>
      <c r="H240" s="3">
        <v>23</v>
      </c>
      <c r="I240" s="3">
        <v>80.900000000000006</v>
      </c>
      <c r="J240" s="3">
        <v>6.96</v>
      </c>
      <c r="K240" s="3">
        <v>0</v>
      </c>
      <c r="L240" s="3">
        <v>3.2</v>
      </c>
      <c r="M240" s="3">
        <v>761919.25</v>
      </c>
      <c r="N240" s="3">
        <v>111893.06</v>
      </c>
    </row>
    <row r="241" spans="1:14">
      <c r="A241" s="3" t="s">
        <v>81</v>
      </c>
      <c r="B241" s="4">
        <v>45748</v>
      </c>
      <c r="C241" s="3" t="s">
        <v>27</v>
      </c>
      <c r="D241" s="3" t="s">
        <v>28</v>
      </c>
      <c r="E241" s="3">
        <v>26248.1</v>
      </c>
      <c r="F241" s="3">
        <v>9314</v>
      </c>
      <c r="G241" s="3">
        <v>0.186</v>
      </c>
      <c r="H241" s="3">
        <v>21</v>
      </c>
      <c r="I241" s="3">
        <v>83.7</v>
      </c>
      <c r="J241" s="3">
        <v>4.62</v>
      </c>
      <c r="K241" s="3">
        <v>0</v>
      </c>
      <c r="L241" s="3">
        <v>3.3</v>
      </c>
      <c r="M241" s="3">
        <v>737070.18</v>
      </c>
      <c r="N241" s="3">
        <v>117593.97</v>
      </c>
    </row>
    <row r="242" spans="1:14">
      <c r="A242" s="3" t="s">
        <v>82</v>
      </c>
      <c r="B242" s="4">
        <v>45658</v>
      </c>
      <c r="C242" s="3" t="s">
        <v>24</v>
      </c>
      <c r="D242" s="3" t="s">
        <v>21</v>
      </c>
      <c r="E242" s="3">
        <v>69900.12</v>
      </c>
      <c r="F242" s="3">
        <v>8055</v>
      </c>
      <c r="G242" s="3">
        <v>0.28100000000000003</v>
      </c>
      <c r="H242" s="3">
        <v>22</v>
      </c>
      <c r="I242" s="3">
        <v>85.6</v>
      </c>
      <c r="J242" s="3">
        <v>10.68</v>
      </c>
      <c r="K242" s="3">
        <v>1</v>
      </c>
      <c r="L242" s="3">
        <v>2.9</v>
      </c>
      <c r="M242" s="3">
        <v>776992.93</v>
      </c>
      <c r="N242" s="3">
        <v>101598.32</v>
      </c>
    </row>
    <row r="243" spans="1:14">
      <c r="A243" s="3" t="s">
        <v>82</v>
      </c>
      <c r="B243" s="4">
        <v>45689</v>
      </c>
      <c r="C243" s="3" t="s">
        <v>24</v>
      </c>
      <c r="D243" s="3" t="s">
        <v>21</v>
      </c>
      <c r="E243" s="3">
        <v>51781.599999999999</v>
      </c>
      <c r="F243" s="3">
        <v>5648</v>
      </c>
      <c r="G243" s="3">
        <v>5.8999999999999997E-2</v>
      </c>
      <c r="H243" s="3">
        <v>13</v>
      </c>
      <c r="I243" s="3">
        <v>85.5</v>
      </c>
      <c r="J243" s="3">
        <v>4.04</v>
      </c>
      <c r="K243" s="3">
        <v>0</v>
      </c>
      <c r="L243" s="3">
        <v>3.7</v>
      </c>
      <c r="M243" s="3">
        <v>676337.41</v>
      </c>
      <c r="N243" s="3">
        <v>104355.77</v>
      </c>
    </row>
    <row r="244" spans="1:14">
      <c r="A244" s="3" t="s">
        <v>82</v>
      </c>
      <c r="B244" s="4">
        <v>45717</v>
      </c>
      <c r="C244" s="3" t="s">
        <v>24</v>
      </c>
      <c r="D244" s="3" t="s">
        <v>21</v>
      </c>
      <c r="E244" s="3">
        <v>70799.64</v>
      </c>
      <c r="F244" s="3">
        <v>10076</v>
      </c>
      <c r="G244" s="3">
        <v>0.152</v>
      </c>
      <c r="H244" s="3">
        <v>24</v>
      </c>
      <c r="I244" s="3">
        <v>84.8</v>
      </c>
      <c r="J244" s="3">
        <v>1.87</v>
      </c>
      <c r="K244" s="3">
        <v>0</v>
      </c>
      <c r="L244" s="3">
        <v>3.5</v>
      </c>
      <c r="M244" s="3">
        <v>828219.67</v>
      </c>
      <c r="N244" s="3">
        <v>179806.87</v>
      </c>
    </row>
    <row r="245" spans="1:14">
      <c r="A245" s="3" t="s">
        <v>82</v>
      </c>
      <c r="B245" s="4">
        <v>45748</v>
      </c>
      <c r="C245" s="3" t="s">
        <v>24</v>
      </c>
      <c r="D245" s="3" t="s">
        <v>21</v>
      </c>
      <c r="E245" s="3">
        <v>53546.34</v>
      </c>
      <c r="F245" s="3">
        <v>8004</v>
      </c>
      <c r="G245" s="3">
        <v>0</v>
      </c>
      <c r="H245" s="3">
        <v>21</v>
      </c>
      <c r="I245" s="3">
        <v>95.2</v>
      </c>
      <c r="J245" s="3">
        <v>2.83</v>
      </c>
      <c r="K245" s="3">
        <v>0</v>
      </c>
      <c r="L245" s="3">
        <v>3</v>
      </c>
      <c r="M245" s="3">
        <v>763159.92</v>
      </c>
      <c r="N245" s="3">
        <v>177104.87</v>
      </c>
    </row>
    <row r="246" spans="1:14">
      <c r="A246" s="3" t="s">
        <v>83</v>
      </c>
      <c r="B246" s="4">
        <v>45658</v>
      </c>
      <c r="C246" s="3" t="s">
        <v>15</v>
      </c>
      <c r="D246" s="3" t="s">
        <v>18</v>
      </c>
      <c r="E246" s="3">
        <v>76942.2</v>
      </c>
      <c r="F246" s="3">
        <v>8934</v>
      </c>
      <c r="G246" s="3">
        <v>8.4000000000000005E-2</v>
      </c>
      <c r="H246" s="3">
        <v>20</v>
      </c>
      <c r="I246" s="3">
        <v>91</v>
      </c>
      <c r="J246" s="3">
        <v>0.95</v>
      </c>
      <c r="K246" s="3">
        <v>0</v>
      </c>
      <c r="L246" s="3">
        <v>3.2</v>
      </c>
      <c r="M246" s="3">
        <v>802001.68</v>
      </c>
      <c r="N246" s="3">
        <v>159715.82</v>
      </c>
    </row>
    <row r="247" spans="1:14">
      <c r="A247" s="3" t="s">
        <v>83</v>
      </c>
      <c r="B247" s="4">
        <v>45689</v>
      </c>
      <c r="C247" s="3" t="s">
        <v>15</v>
      </c>
      <c r="D247" s="3" t="s">
        <v>18</v>
      </c>
      <c r="E247" s="3">
        <v>48060.78</v>
      </c>
      <c r="F247" s="3">
        <v>8733</v>
      </c>
      <c r="G247" s="3">
        <v>0</v>
      </c>
      <c r="H247" s="3">
        <v>20</v>
      </c>
      <c r="I247" s="3">
        <v>89.9</v>
      </c>
      <c r="J247" s="3">
        <v>0.8</v>
      </c>
      <c r="K247" s="3">
        <v>0</v>
      </c>
      <c r="L247" s="3">
        <v>3.4</v>
      </c>
      <c r="M247" s="3">
        <v>750471.34</v>
      </c>
      <c r="N247" s="3">
        <v>133788.04</v>
      </c>
    </row>
    <row r="248" spans="1:14">
      <c r="A248" s="3" t="s">
        <v>83</v>
      </c>
      <c r="B248" s="4">
        <v>45717</v>
      </c>
      <c r="C248" s="3" t="s">
        <v>15</v>
      </c>
      <c r="D248" s="3" t="s">
        <v>18</v>
      </c>
      <c r="E248" s="3">
        <v>57390.04</v>
      </c>
      <c r="F248" s="3">
        <v>7374</v>
      </c>
      <c r="G248" s="3">
        <v>0.21</v>
      </c>
      <c r="H248" s="3">
        <v>21</v>
      </c>
      <c r="I248" s="3">
        <v>91.8</v>
      </c>
      <c r="J248" s="3">
        <v>0.2</v>
      </c>
      <c r="K248" s="3">
        <v>0</v>
      </c>
      <c r="L248" s="3">
        <v>3.1</v>
      </c>
      <c r="M248" s="3">
        <v>679230.86</v>
      </c>
      <c r="N248" s="3">
        <v>106927.58</v>
      </c>
    </row>
    <row r="249" spans="1:14">
      <c r="A249" s="3" t="s">
        <v>83</v>
      </c>
      <c r="B249" s="4">
        <v>45748</v>
      </c>
      <c r="C249" s="3" t="s">
        <v>15</v>
      </c>
      <c r="D249" s="3" t="s">
        <v>18</v>
      </c>
      <c r="E249" s="3">
        <v>21536.18</v>
      </c>
      <c r="F249" s="3">
        <v>8119</v>
      </c>
      <c r="G249" s="3">
        <v>0.22700000000000001</v>
      </c>
      <c r="H249" s="3">
        <v>20</v>
      </c>
      <c r="I249" s="3">
        <v>90.4</v>
      </c>
      <c r="J249" s="3">
        <v>1.7</v>
      </c>
      <c r="K249" s="3">
        <v>0</v>
      </c>
      <c r="L249" s="3">
        <v>3.3</v>
      </c>
      <c r="M249" s="3">
        <v>679888.74</v>
      </c>
      <c r="N249" s="3">
        <v>83406.89</v>
      </c>
    </row>
    <row r="250" spans="1:14">
      <c r="A250" s="3" t="s">
        <v>84</v>
      </c>
      <c r="B250" s="4">
        <v>45658</v>
      </c>
      <c r="C250" s="3" t="s">
        <v>20</v>
      </c>
      <c r="D250" s="3" t="s">
        <v>18</v>
      </c>
      <c r="E250" s="3">
        <v>40923.67</v>
      </c>
      <c r="F250" s="3">
        <v>3875</v>
      </c>
      <c r="G250" s="3">
        <v>0.15</v>
      </c>
      <c r="H250" s="3">
        <v>10</v>
      </c>
      <c r="I250" s="3">
        <v>96.1</v>
      </c>
      <c r="J250" s="5">
        <v>4.5599999999999996</v>
      </c>
      <c r="K250" s="3">
        <v>0</v>
      </c>
      <c r="L250" s="3">
        <v>3.8</v>
      </c>
      <c r="M250" s="3">
        <v>606783.67000000004</v>
      </c>
      <c r="N250" s="3">
        <v>74515.87</v>
      </c>
    </row>
    <row r="251" spans="1:14">
      <c r="A251" s="3" t="s">
        <v>84</v>
      </c>
      <c r="B251" s="4">
        <v>45689</v>
      </c>
      <c r="C251" s="3" t="s">
        <v>20</v>
      </c>
      <c r="D251" s="3" t="s">
        <v>18</v>
      </c>
      <c r="E251" s="3">
        <v>72932.55</v>
      </c>
      <c r="F251" s="3">
        <v>5765</v>
      </c>
      <c r="G251" s="3">
        <v>2.5999999999999999E-2</v>
      </c>
      <c r="H251" s="3">
        <v>17</v>
      </c>
      <c r="I251" s="3">
        <v>81.8</v>
      </c>
      <c r="J251" s="3">
        <v>5.0999999999999996</v>
      </c>
      <c r="K251" s="3">
        <v>0</v>
      </c>
      <c r="L251" s="3">
        <v>3.6</v>
      </c>
      <c r="M251" s="3">
        <v>642751.42000000004</v>
      </c>
      <c r="N251" s="3">
        <v>131942.15</v>
      </c>
    </row>
    <row r="252" spans="1:14">
      <c r="A252" s="3" t="s">
        <v>84</v>
      </c>
      <c r="B252" s="4">
        <v>45717</v>
      </c>
      <c r="C252" s="3" t="s">
        <v>20</v>
      </c>
      <c r="D252" s="3" t="s">
        <v>18</v>
      </c>
      <c r="E252" s="3">
        <v>38361.93</v>
      </c>
      <c r="F252" s="3">
        <v>6322</v>
      </c>
      <c r="G252" s="3">
        <v>0.27300000000000002</v>
      </c>
      <c r="H252" s="3">
        <v>15</v>
      </c>
      <c r="I252" s="3">
        <v>88.4</v>
      </c>
      <c r="J252" s="3">
        <v>0.83</v>
      </c>
      <c r="K252" s="3">
        <v>0</v>
      </c>
      <c r="L252" s="3">
        <v>4</v>
      </c>
      <c r="M252" s="3">
        <v>647953.78</v>
      </c>
      <c r="N252" s="3">
        <v>118497.43</v>
      </c>
    </row>
    <row r="253" spans="1:14">
      <c r="A253" s="3" t="s">
        <v>84</v>
      </c>
      <c r="B253" s="4">
        <v>45748</v>
      </c>
      <c r="C253" s="3" t="s">
        <v>20</v>
      </c>
      <c r="D253" s="3" t="s">
        <v>18</v>
      </c>
      <c r="E253" s="3">
        <v>97480.94</v>
      </c>
      <c r="F253" s="3">
        <v>6840</v>
      </c>
      <c r="G253" s="3">
        <v>8.6999999999999994E-2</v>
      </c>
      <c r="H253" s="3">
        <v>14</v>
      </c>
      <c r="I253" s="3">
        <v>79.2</v>
      </c>
      <c r="J253" s="3">
        <v>1.1399999999999999</v>
      </c>
      <c r="K253" s="3">
        <v>0</v>
      </c>
      <c r="L253" s="3">
        <v>4</v>
      </c>
      <c r="M253" s="3">
        <v>729440.45</v>
      </c>
      <c r="N253" s="3">
        <v>87614.29</v>
      </c>
    </row>
    <row r="254" spans="1:14">
      <c r="A254" s="3" t="s">
        <v>85</v>
      </c>
      <c r="B254" s="4">
        <v>45658</v>
      </c>
      <c r="C254" s="3" t="s">
        <v>24</v>
      </c>
      <c r="D254" s="3" t="s">
        <v>21</v>
      </c>
      <c r="E254" s="3">
        <v>81801.8</v>
      </c>
      <c r="F254" s="3">
        <v>6782</v>
      </c>
      <c r="G254" s="3">
        <v>0.05</v>
      </c>
      <c r="H254" s="3">
        <v>16</v>
      </c>
      <c r="I254" s="3">
        <v>99</v>
      </c>
      <c r="J254" s="3">
        <v>9.5399999999999991</v>
      </c>
      <c r="K254" s="3">
        <v>0</v>
      </c>
      <c r="L254" s="3">
        <v>3.7</v>
      </c>
      <c r="M254" s="3">
        <v>764949</v>
      </c>
      <c r="N254" s="3">
        <v>148322.43</v>
      </c>
    </row>
    <row r="255" spans="1:14">
      <c r="A255" s="3" t="s">
        <v>85</v>
      </c>
      <c r="B255" s="4">
        <v>45689</v>
      </c>
      <c r="C255" s="3" t="s">
        <v>24</v>
      </c>
      <c r="D255" s="3" t="s">
        <v>21</v>
      </c>
      <c r="E255" s="3">
        <v>63582.11</v>
      </c>
      <c r="F255" s="3">
        <v>6856</v>
      </c>
      <c r="G255" s="3">
        <v>7.3999999999999996E-2</v>
      </c>
      <c r="H255" s="3">
        <v>17</v>
      </c>
      <c r="I255" s="3">
        <v>89.5</v>
      </c>
      <c r="J255" s="3">
        <v>5.48</v>
      </c>
      <c r="K255" s="3">
        <v>0</v>
      </c>
      <c r="L255" s="3">
        <v>3.2</v>
      </c>
      <c r="M255" s="3">
        <v>799046.94</v>
      </c>
      <c r="N255" s="3">
        <v>144553.64000000001</v>
      </c>
    </row>
    <row r="256" spans="1:14">
      <c r="A256" s="3" t="s">
        <v>85</v>
      </c>
      <c r="B256" s="4">
        <v>45717</v>
      </c>
      <c r="C256" s="3" t="s">
        <v>24</v>
      </c>
      <c r="D256" s="3" t="s">
        <v>21</v>
      </c>
      <c r="E256" s="3">
        <v>75412.740000000005</v>
      </c>
      <c r="F256" s="3">
        <v>5641</v>
      </c>
      <c r="G256" s="3">
        <v>5.8999999999999997E-2</v>
      </c>
      <c r="H256" s="3">
        <v>13</v>
      </c>
      <c r="I256" s="3">
        <v>87.9</v>
      </c>
      <c r="J256" s="3">
        <v>0.84</v>
      </c>
      <c r="K256" s="3">
        <v>0</v>
      </c>
      <c r="L256" s="3">
        <v>3.6</v>
      </c>
      <c r="M256" s="3">
        <v>720079.54</v>
      </c>
      <c r="N256" s="3">
        <v>119499.47</v>
      </c>
    </row>
    <row r="257" spans="1:14">
      <c r="A257" s="3" t="s">
        <v>85</v>
      </c>
      <c r="B257" s="4">
        <v>45748</v>
      </c>
      <c r="C257" s="3" t="s">
        <v>24</v>
      </c>
      <c r="D257" s="3" t="s">
        <v>21</v>
      </c>
      <c r="E257" s="3">
        <v>36290.080000000002</v>
      </c>
      <c r="F257" s="3">
        <v>5787</v>
      </c>
      <c r="G257" s="3">
        <v>0</v>
      </c>
      <c r="H257" s="3">
        <v>17</v>
      </c>
      <c r="I257" s="3">
        <v>88.3</v>
      </c>
      <c r="J257" s="3">
        <v>4.1900000000000004</v>
      </c>
      <c r="K257" s="3">
        <v>0</v>
      </c>
      <c r="L257" s="3">
        <v>4.0999999999999996</v>
      </c>
      <c r="M257" s="3">
        <v>612390.14</v>
      </c>
      <c r="N257" s="3">
        <v>108985.74</v>
      </c>
    </row>
    <row r="258" spans="1:14">
      <c r="A258" s="3" t="s">
        <v>86</v>
      </c>
      <c r="B258" s="4">
        <v>45658</v>
      </c>
      <c r="C258" s="3" t="s">
        <v>24</v>
      </c>
      <c r="D258" s="3" t="s">
        <v>28</v>
      </c>
      <c r="E258" s="3">
        <v>65272.58</v>
      </c>
      <c r="F258" s="3">
        <v>8165</v>
      </c>
      <c r="G258" s="3">
        <v>5.0999999999999997E-2</v>
      </c>
      <c r="H258" s="3">
        <v>19</v>
      </c>
      <c r="I258" s="3">
        <v>87.8</v>
      </c>
      <c r="J258" s="3">
        <v>1.26</v>
      </c>
      <c r="K258" s="3">
        <v>1</v>
      </c>
      <c r="L258" s="3">
        <v>4.3</v>
      </c>
      <c r="M258" s="3">
        <v>840108.12</v>
      </c>
      <c r="N258" s="3">
        <v>126587.01</v>
      </c>
    </row>
    <row r="259" spans="1:14">
      <c r="A259" s="3" t="s">
        <v>86</v>
      </c>
      <c r="B259" s="4">
        <v>45689</v>
      </c>
      <c r="C259" s="3" t="s">
        <v>24</v>
      </c>
      <c r="D259" s="3" t="s">
        <v>28</v>
      </c>
      <c r="E259" s="3">
        <v>28670.43</v>
      </c>
      <c r="F259" s="3">
        <v>7574</v>
      </c>
      <c r="G259" s="3">
        <v>0.114</v>
      </c>
      <c r="H259" s="3">
        <v>19</v>
      </c>
      <c r="I259" s="3">
        <v>82.7</v>
      </c>
      <c r="J259" s="3">
        <v>2.74</v>
      </c>
      <c r="K259" s="3">
        <v>0</v>
      </c>
      <c r="L259" s="3">
        <v>4.5999999999999996</v>
      </c>
      <c r="M259" s="3">
        <v>697888.09</v>
      </c>
      <c r="N259" s="3">
        <v>116249.87</v>
      </c>
    </row>
    <row r="260" spans="1:14">
      <c r="A260" s="3" t="s">
        <v>86</v>
      </c>
      <c r="B260" s="4">
        <v>45717</v>
      </c>
      <c r="C260" s="3" t="s">
        <v>24</v>
      </c>
      <c r="D260" s="3" t="s">
        <v>28</v>
      </c>
      <c r="E260" s="3">
        <v>44189.34</v>
      </c>
      <c r="F260" s="3">
        <v>8634</v>
      </c>
      <c r="G260" s="3">
        <v>0.14299999999999999</v>
      </c>
      <c r="H260" s="3">
        <v>19</v>
      </c>
      <c r="I260" s="3">
        <v>87.5</v>
      </c>
      <c r="J260" s="3">
        <v>3.69</v>
      </c>
      <c r="K260" s="3">
        <v>0</v>
      </c>
      <c r="L260" s="3">
        <v>4.4000000000000004</v>
      </c>
      <c r="M260" s="3">
        <v>746115.59</v>
      </c>
      <c r="N260" s="3">
        <v>94662.96</v>
      </c>
    </row>
    <row r="261" spans="1:14">
      <c r="A261" s="3" t="s">
        <v>86</v>
      </c>
      <c r="B261" s="4">
        <v>45748</v>
      </c>
      <c r="C261" s="3" t="s">
        <v>24</v>
      </c>
      <c r="D261" s="3" t="s">
        <v>28</v>
      </c>
      <c r="E261" s="3">
        <v>38397.82</v>
      </c>
      <c r="F261" s="3">
        <v>7836</v>
      </c>
      <c r="G261" s="3">
        <v>7.0000000000000001E-3</v>
      </c>
      <c r="H261" s="3">
        <v>21</v>
      </c>
      <c r="I261" s="3">
        <v>92.2</v>
      </c>
      <c r="J261" s="3">
        <v>1.82</v>
      </c>
      <c r="K261" s="3">
        <v>0</v>
      </c>
      <c r="L261" s="3">
        <v>3.6</v>
      </c>
      <c r="M261" s="3">
        <v>776110.32</v>
      </c>
      <c r="N261" s="3">
        <v>139676.21</v>
      </c>
    </row>
    <row r="262" spans="1:14">
      <c r="A262" s="3" t="s">
        <v>87</v>
      </c>
      <c r="B262" s="4">
        <v>45658</v>
      </c>
      <c r="C262" s="3" t="s">
        <v>27</v>
      </c>
      <c r="D262" s="3" t="s">
        <v>18</v>
      </c>
      <c r="E262" s="3">
        <v>14519.37</v>
      </c>
      <c r="F262" s="3">
        <v>3047</v>
      </c>
      <c r="G262" s="3">
        <v>0.13500000000000001</v>
      </c>
      <c r="H262" s="3">
        <v>10</v>
      </c>
      <c r="I262" s="3">
        <v>90.3</v>
      </c>
      <c r="J262" s="3">
        <v>6.62</v>
      </c>
      <c r="K262" s="3">
        <v>0</v>
      </c>
      <c r="L262" s="3">
        <v>4.2</v>
      </c>
      <c r="M262" s="3">
        <v>528852.62</v>
      </c>
      <c r="N262" s="3">
        <v>68426.210000000006</v>
      </c>
    </row>
    <row r="263" spans="1:14">
      <c r="A263" s="3" t="s">
        <v>87</v>
      </c>
      <c r="B263" s="4">
        <v>45689</v>
      </c>
      <c r="C263" s="3" t="s">
        <v>27</v>
      </c>
      <c r="D263" s="3" t="s">
        <v>18</v>
      </c>
      <c r="E263" s="3">
        <v>43288.2</v>
      </c>
      <c r="F263" s="3">
        <v>4783</v>
      </c>
      <c r="G263" s="3">
        <v>0.16900000000000001</v>
      </c>
      <c r="H263" s="3">
        <v>13</v>
      </c>
      <c r="I263" s="3">
        <v>87.3</v>
      </c>
      <c r="J263" s="5">
        <v>4.5599999999999996</v>
      </c>
      <c r="K263" s="3">
        <v>0</v>
      </c>
      <c r="L263" s="3">
        <v>4.2</v>
      </c>
      <c r="M263" s="3">
        <v>605751.32999999996</v>
      </c>
      <c r="N263" s="3">
        <v>60685.53</v>
      </c>
    </row>
    <row r="264" spans="1:14">
      <c r="A264" s="3" t="s">
        <v>87</v>
      </c>
      <c r="B264" s="4">
        <v>45717</v>
      </c>
      <c r="C264" s="3" t="s">
        <v>27</v>
      </c>
      <c r="D264" s="3" t="s">
        <v>18</v>
      </c>
      <c r="E264" s="3">
        <v>51450.55</v>
      </c>
      <c r="F264" s="3">
        <v>4902</v>
      </c>
      <c r="G264" s="3">
        <v>8.5999999999999993E-2</v>
      </c>
      <c r="H264" s="3">
        <v>11</v>
      </c>
      <c r="I264" s="3">
        <v>83.7</v>
      </c>
      <c r="J264" s="3">
        <v>6.92</v>
      </c>
      <c r="K264" s="3">
        <v>1</v>
      </c>
      <c r="L264" s="3">
        <v>4.2</v>
      </c>
      <c r="M264" s="3">
        <v>677640.65</v>
      </c>
      <c r="N264" s="3">
        <v>111610.89</v>
      </c>
    </row>
    <row r="265" spans="1:14">
      <c r="A265" s="3" t="s">
        <v>87</v>
      </c>
      <c r="B265" s="4">
        <v>45748</v>
      </c>
      <c r="C265" s="3" t="s">
        <v>27</v>
      </c>
      <c r="D265" s="3" t="s">
        <v>18</v>
      </c>
      <c r="E265" s="3">
        <v>58688.26</v>
      </c>
      <c r="F265" s="3">
        <v>4022</v>
      </c>
      <c r="G265" s="3">
        <v>0.217</v>
      </c>
      <c r="H265" s="3">
        <v>12</v>
      </c>
      <c r="I265" s="3">
        <v>93.8</v>
      </c>
      <c r="J265" s="3">
        <v>11.78</v>
      </c>
      <c r="K265" s="3">
        <v>0</v>
      </c>
      <c r="L265" s="3">
        <v>3.7</v>
      </c>
      <c r="M265" s="3">
        <v>636613.23</v>
      </c>
      <c r="N265" s="3">
        <v>78908.350000000006</v>
      </c>
    </row>
    <row r="266" spans="1:14">
      <c r="A266" s="3" t="s">
        <v>88</v>
      </c>
      <c r="B266" s="4">
        <v>45658</v>
      </c>
      <c r="C266" s="3" t="s">
        <v>15</v>
      </c>
      <c r="D266" s="3" t="s">
        <v>18</v>
      </c>
      <c r="E266" s="3">
        <v>58981.91</v>
      </c>
      <c r="F266" s="3">
        <v>7324</v>
      </c>
      <c r="G266" s="3">
        <v>9.4E-2</v>
      </c>
      <c r="H266" s="3">
        <v>15</v>
      </c>
      <c r="I266" s="3">
        <v>95.8</v>
      </c>
      <c r="J266" s="3">
        <v>0.5</v>
      </c>
      <c r="K266" s="3">
        <v>0</v>
      </c>
      <c r="L266" s="3">
        <v>3.5</v>
      </c>
      <c r="M266" s="3">
        <v>708985.19</v>
      </c>
      <c r="N266" s="3">
        <v>125368.16</v>
      </c>
    </row>
    <row r="267" spans="1:14">
      <c r="A267" s="3" t="s">
        <v>88</v>
      </c>
      <c r="B267" s="4">
        <v>45689</v>
      </c>
      <c r="C267" s="3" t="s">
        <v>15</v>
      </c>
      <c r="D267" s="3" t="s">
        <v>18</v>
      </c>
      <c r="E267" s="3">
        <v>73454.539999999994</v>
      </c>
      <c r="F267" s="3">
        <v>8129</v>
      </c>
      <c r="G267" s="3">
        <v>0.21099999999999999</v>
      </c>
      <c r="H267" s="3">
        <v>20</v>
      </c>
      <c r="I267" s="3">
        <v>85.2</v>
      </c>
      <c r="J267" s="3">
        <v>0.88</v>
      </c>
      <c r="K267" s="3">
        <v>0</v>
      </c>
      <c r="L267" s="3">
        <v>3.7</v>
      </c>
      <c r="M267" s="3">
        <v>767792.94</v>
      </c>
      <c r="N267" s="3">
        <v>96235.77</v>
      </c>
    </row>
    <row r="268" spans="1:14">
      <c r="A268" s="3" t="s">
        <v>88</v>
      </c>
      <c r="B268" s="4">
        <v>45717</v>
      </c>
      <c r="C268" s="3" t="s">
        <v>15</v>
      </c>
      <c r="D268" s="3" t="s">
        <v>18</v>
      </c>
      <c r="E268" s="3">
        <v>56602.39</v>
      </c>
      <c r="F268" s="3">
        <v>7969</v>
      </c>
      <c r="G268" s="3">
        <v>0.17</v>
      </c>
      <c r="H268" s="3">
        <v>21</v>
      </c>
      <c r="I268" s="3">
        <v>88.3</v>
      </c>
      <c r="J268" s="3">
        <v>2.25</v>
      </c>
      <c r="K268" s="3">
        <v>0</v>
      </c>
      <c r="L268" s="3">
        <v>3.7</v>
      </c>
      <c r="M268" s="3">
        <v>745580.51</v>
      </c>
      <c r="N268" s="3">
        <v>116273.68</v>
      </c>
    </row>
    <row r="269" spans="1:14">
      <c r="A269" s="3" t="s">
        <v>88</v>
      </c>
      <c r="B269" s="4">
        <v>45748</v>
      </c>
      <c r="C269" s="3" t="s">
        <v>15</v>
      </c>
      <c r="D269" s="3" t="s">
        <v>18</v>
      </c>
      <c r="E269" s="3">
        <v>67722.289999999994</v>
      </c>
      <c r="F269" s="3">
        <v>7240</v>
      </c>
      <c r="G269" s="3">
        <v>2.5999999999999999E-2</v>
      </c>
      <c r="H269" s="3">
        <v>15</v>
      </c>
      <c r="I269" s="3">
        <v>92.9</v>
      </c>
      <c r="J269" s="3">
        <v>0.28999999999999998</v>
      </c>
      <c r="K269" s="3">
        <v>0</v>
      </c>
      <c r="L269" s="3">
        <v>3.5</v>
      </c>
      <c r="M269" s="3">
        <v>762328.31</v>
      </c>
      <c r="N269" s="3">
        <v>159158.19</v>
      </c>
    </row>
    <row r="270" spans="1:14">
      <c r="A270" s="3" t="s">
        <v>89</v>
      </c>
      <c r="B270" s="4">
        <v>45658</v>
      </c>
      <c r="C270" s="3" t="s">
        <v>15</v>
      </c>
      <c r="D270" s="3" t="s">
        <v>28</v>
      </c>
      <c r="E270" s="3">
        <v>48752.92</v>
      </c>
      <c r="F270" s="3">
        <v>8052</v>
      </c>
      <c r="G270" s="3">
        <v>0.106</v>
      </c>
      <c r="H270" s="3">
        <v>16</v>
      </c>
      <c r="I270" s="3">
        <v>94.9</v>
      </c>
      <c r="J270" s="3">
        <v>0.65</v>
      </c>
      <c r="K270" s="3">
        <v>0</v>
      </c>
      <c r="L270" s="3">
        <v>3.6</v>
      </c>
      <c r="M270" s="3">
        <v>660633.99</v>
      </c>
      <c r="N270" s="3">
        <v>118768.66</v>
      </c>
    </row>
    <row r="271" spans="1:14">
      <c r="A271" s="3" t="s">
        <v>89</v>
      </c>
      <c r="B271" s="4">
        <v>45689</v>
      </c>
      <c r="C271" s="3" t="s">
        <v>15</v>
      </c>
      <c r="D271" s="3" t="s">
        <v>28</v>
      </c>
      <c r="E271" s="3">
        <v>23914.97</v>
      </c>
      <c r="F271" s="3">
        <v>8018</v>
      </c>
      <c r="G271" s="3">
        <v>0.13900000000000001</v>
      </c>
      <c r="H271" s="3">
        <v>20</v>
      </c>
      <c r="I271" s="3">
        <v>89</v>
      </c>
      <c r="J271" s="3">
        <v>0.2</v>
      </c>
      <c r="K271" s="3">
        <v>0</v>
      </c>
      <c r="L271" s="3">
        <v>3.5</v>
      </c>
      <c r="M271" s="3">
        <v>739374.56</v>
      </c>
      <c r="N271" s="3">
        <v>121032.29</v>
      </c>
    </row>
    <row r="272" spans="1:14">
      <c r="A272" s="3" t="s">
        <v>89</v>
      </c>
      <c r="B272" s="4">
        <v>45717</v>
      </c>
      <c r="C272" s="3" t="s">
        <v>15</v>
      </c>
      <c r="D272" s="3" t="s">
        <v>28</v>
      </c>
      <c r="E272" s="3">
        <v>61995.3</v>
      </c>
      <c r="F272" s="3">
        <v>10192</v>
      </c>
      <c r="G272" s="3">
        <v>0.19800000000000001</v>
      </c>
      <c r="H272" s="3">
        <v>21</v>
      </c>
      <c r="I272" s="3">
        <v>87.6</v>
      </c>
      <c r="J272" s="3">
        <v>3.63</v>
      </c>
      <c r="K272" s="3">
        <v>1</v>
      </c>
      <c r="L272" s="3">
        <v>3.8</v>
      </c>
      <c r="M272" s="3">
        <v>799756.46</v>
      </c>
      <c r="N272" s="3">
        <v>105052.93</v>
      </c>
    </row>
    <row r="273" spans="1:14">
      <c r="A273" s="3" t="s">
        <v>89</v>
      </c>
      <c r="B273" s="4">
        <v>45748</v>
      </c>
      <c r="C273" s="3" t="s">
        <v>15</v>
      </c>
      <c r="D273" s="3" t="s">
        <v>28</v>
      </c>
      <c r="E273" s="3">
        <v>29344.93</v>
      </c>
      <c r="F273" s="3">
        <v>7446</v>
      </c>
      <c r="G273" s="3">
        <v>0.111</v>
      </c>
      <c r="H273" s="3">
        <v>15</v>
      </c>
      <c r="I273" s="3">
        <v>86.2</v>
      </c>
      <c r="J273" s="3">
        <v>0.2</v>
      </c>
      <c r="K273" s="3">
        <v>0</v>
      </c>
      <c r="L273" s="3">
        <v>3.2</v>
      </c>
      <c r="M273" s="3">
        <v>593343</v>
      </c>
      <c r="N273" s="3">
        <v>82832.240000000005</v>
      </c>
    </row>
    <row r="274" spans="1:14">
      <c r="A274" s="3" t="s">
        <v>90</v>
      </c>
      <c r="B274" s="4">
        <v>45658</v>
      </c>
      <c r="C274" s="3" t="s">
        <v>27</v>
      </c>
      <c r="D274" s="3" t="s">
        <v>18</v>
      </c>
      <c r="E274" s="3">
        <v>50532.17</v>
      </c>
      <c r="F274" s="3">
        <v>5689</v>
      </c>
      <c r="G274" s="3">
        <v>5.1999999999999998E-2</v>
      </c>
      <c r="H274" s="3">
        <v>17</v>
      </c>
      <c r="I274" s="3">
        <v>85.6</v>
      </c>
      <c r="J274" s="3">
        <v>6.23</v>
      </c>
      <c r="K274" s="3">
        <v>0</v>
      </c>
      <c r="L274" s="3">
        <v>3.3</v>
      </c>
      <c r="M274" s="3">
        <v>645039.97</v>
      </c>
      <c r="N274" s="3">
        <v>83093.33</v>
      </c>
    </row>
    <row r="275" spans="1:14">
      <c r="A275" s="3" t="s">
        <v>90</v>
      </c>
      <c r="B275" s="4">
        <v>45689</v>
      </c>
      <c r="C275" s="3" t="s">
        <v>27</v>
      </c>
      <c r="D275" s="3" t="s">
        <v>18</v>
      </c>
      <c r="E275" s="3">
        <v>17562.57</v>
      </c>
      <c r="F275" s="3">
        <v>3326</v>
      </c>
      <c r="G275" s="3">
        <v>0.153</v>
      </c>
      <c r="H275" s="3">
        <v>14</v>
      </c>
      <c r="I275" s="3">
        <v>88.1</v>
      </c>
      <c r="J275" s="3">
        <v>1.04</v>
      </c>
      <c r="K275" s="3">
        <v>0</v>
      </c>
      <c r="L275" s="3">
        <v>3.1</v>
      </c>
      <c r="M275" s="3">
        <v>561597.32999999996</v>
      </c>
      <c r="N275" s="3">
        <v>75072.75</v>
      </c>
    </row>
    <row r="276" spans="1:14">
      <c r="A276" s="3" t="s">
        <v>90</v>
      </c>
      <c r="B276" s="4">
        <v>45717</v>
      </c>
      <c r="C276" s="3" t="s">
        <v>27</v>
      </c>
      <c r="D276" s="3" t="s">
        <v>18</v>
      </c>
      <c r="E276" s="3">
        <v>47648.71</v>
      </c>
      <c r="F276" s="3">
        <v>5767</v>
      </c>
      <c r="G276" s="3">
        <v>0.14099999999999999</v>
      </c>
      <c r="H276" s="3">
        <v>17</v>
      </c>
      <c r="I276" s="3">
        <v>89.8</v>
      </c>
      <c r="J276" s="3">
        <v>1.76</v>
      </c>
      <c r="K276" s="3">
        <v>0</v>
      </c>
      <c r="L276" s="3">
        <v>3.1</v>
      </c>
      <c r="M276" s="3">
        <v>635837.74</v>
      </c>
      <c r="N276" s="3">
        <v>114740.64</v>
      </c>
    </row>
    <row r="277" spans="1:14">
      <c r="A277" s="3" t="s">
        <v>90</v>
      </c>
      <c r="B277" s="4">
        <v>45748</v>
      </c>
      <c r="C277" s="3" t="s">
        <v>27</v>
      </c>
      <c r="D277" s="3" t="s">
        <v>18</v>
      </c>
      <c r="E277" s="3">
        <v>38297.58</v>
      </c>
      <c r="F277" s="3">
        <v>5893</v>
      </c>
      <c r="G277" s="3">
        <v>0.247</v>
      </c>
      <c r="H277" s="3">
        <v>18</v>
      </c>
      <c r="I277" s="3">
        <v>77.599999999999994</v>
      </c>
      <c r="J277" s="3">
        <v>2.86</v>
      </c>
      <c r="K277" s="3">
        <v>0</v>
      </c>
      <c r="L277" s="3">
        <v>3</v>
      </c>
      <c r="M277" s="3">
        <v>686737.87</v>
      </c>
      <c r="N277" s="3">
        <v>83839.67</v>
      </c>
    </row>
    <row r="278" spans="1:14">
      <c r="A278" s="3" t="s">
        <v>91</v>
      </c>
      <c r="B278" s="4">
        <v>45658</v>
      </c>
      <c r="C278" s="3" t="s">
        <v>24</v>
      </c>
      <c r="D278" s="3" t="s">
        <v>16</v>
      </c>
      <c r="E278" s="3">
        <v>61784.11</v>
      </c>
      <c r="F278" s="3">
        <v>8564</v>
      </c>
      <c r="G278" s="3">
        <v>0.13</v>
      </c>
      <c r="H278" s="3">
        <v>17</v>
      </c>
      <c r="I278" s="3">
        <v>87.4</v>
      </c>
      <c r="J278" s="3">
        <v>18.14</v>
      </c>
      <c r="K278" s="3">
        <v>1</v>
      </c>
      <c r="L278" s="3">
        <v>3.4</v>
      </c>
      <c r="M278" s="3">
        <v>673076.34</v>
      </c>
      <c r="N278" s="3">
        <v>93899.76</v>
      </c>
    </row>
    <row r="279" spans="1:14">
      <c r="A279" s="3" t="s">
        <v>91</v>
      </c>
      <c r="B279" s="4">
        <v>45689</v>
      </c>
      <c r="C279" s="3" t="s">
        <v>24</v>
      </c>
      <c r="D279" s="3" t="s">
        <v>16</v>
      </c>
      <c r="E279" s="3">
        <v>36832.33</v>
      </c>
      <c r="F279" s="3">
        <v>8001</v>
      </c>
      <c r="G279" s="3">
        <v>0</v>
      </c>
      <c r="H279" s="3">
        <v>19</v>
      </c>
      <c r="I279" s="3">
        <v>88.7</v>
      </c>
      <c r="J279" s="3">
        <v>3.39</v>
      </c>
      <c r="K279" s="3">
        <v>0</v>
      </c>
      <c r="L279" s="3">
        <v>4</v>
      </c>
      <c r="M279" s="3">
        <v>738548.42</v>
      </c>
      <c r="N279" s="3">
        <v>134282.76999999999</v>
      </c>
    </row>
    <row r="280" spans="1:14">
      <c r="A280" s="3" t="s">
        <v>91</v>
      </c>
      <c r="B280" s="4">
        <v>45717</v>
      </c>
      <c r="C280" s="3" t="s">
        <v>24</v>
      </c>
      <c r="D280" s="3" t="s">
        <v>16</v>
      </c>
      <c r="E280" s="3">
        <v>48609.41</v>
      </c>
      <c r="F280" s="3">
        <v>9324</v>
      </c>
      <c r="G280" s="3">
        <v>0.21299999999999999</v>
      </c>
      <c r="H280" s="3">
        <v>18</v>
      </c>
      <c r="I280" s="3">
        <v>86.5</v>
      </c>
      <c r="J280" s="3">
        <v>1.44</v>
      </c>
      <c r="K280" s="3">
        <v>0</v>
      </c>
      <c r="L280" s="3">
        <v>3.9</v>
      </c>
      <c r="M280" s="3">
        <v>756619.77</v>
      </c>
      <c r="N280" s="3">
        <v>112057.69</v>
      </c>
    </row>
    <row r="281" spans="1:14">
      <c r="A281" s="3" t="s">
        <v>91</v>
      </c>
      <c r="B281" s="4">
        <v>45748</v>
      </c>
      <c r="C281" s="3" t="s">
        <v>24</v>
      </c>
      <c r="D281" s="3" t="s">
        <v>16</v>
      </c>
      <c r="E281" s="3">
        <v>70284.06</v>
      </c>
      <c r="F281" s="3">
        <v>9109</v>
      </c>
      <c r="G281" s="3">
        <v>4.0000000000000001E-3</v>
      </c>
      <c r="H281" s="3">
        <v>23</v>
      </c>
      <c r="I281" s="3">
        <v>87</v>
      </c>
      <c r="J281" s="3">
        <v>3.65</v>
      </c>
      <c r="K281" s="3">
        <v>0</v>
      </c>
      <c r="L281" s="3">
        <v>3.7</v>
      </c>
      <c r="M281" s="3">
        <v>761122.42</v>
      </c>
      <c r="N281" s="3">
        <v>149802.04</v>
      </c>
    </row>
    <row r="282" spans="1:14">
      <c r="A282" s="3" t="s">
        <v>92</v>
      </c>
      <c r="B282" s="4">
        <v>45658</v>
      </c>
      <c r="C282" s="3" t="s">
        <v>24</v>
      </c>
      <c r="D282" s="3" t="s">
        <v>18</v>
      </c>
      <c r="E282" s="3">
        <v>45940.39</v>
      </c>
      <c r="F282" s="3">
        <v>4022</v>
      </c>
      <c r="G282" s="3">
        <v>6.9000000000000006E-2</v>
      </c>
      <c r="H282" s="3">
        <v>10</v>
      </c>
      <c r="I282" s="3">
        <v>83</v>
      </c>
      <c r="J282" s="3">
        <v>1.23</v>
      </c>
      <c r="K282" s="3">
        <v>1</v>
      </c>
      <c r="L282" s="3">
        <v>3.8</v>
      </c>
      <c r="M282" s="3">
        <v>524899.56999999995</v>
      </c>
      <c r="N282" s="3">
        <v>63619.98</v>
      </c>
    </row>
    <row r="283" spans="1:14">
      <c r="A283" s="3" t="s">
        <v>92</v>
      </c>
      <c r="B283" s="4">
        <v>45689</v>
      </c>
      <c r="C283" s="3" t="s">
        <v>24</v>
      </c>
      <c r="D283" s="3" t="s">
        <v>18</v>
      </c>
      <c r="E283" s="3">
        <v>34771.26</v>
      </c>
      <c r="F283" s="3">
        <v>4355</v>
      </c>
      <c r="G283" s="3">
        <v>5.0999999999999997E-2</v>
      </c>
      <c r="H283" s="3">
        <v>15</v>
      </c>
      <c r="I283" s="3">
        <v>87.9</v>
      </c>
      <c r="J283" s="3">
        <v>3.09</v>
      </c>
      <c r="K283" s="3">
        <v>0</v>
      </c>
      <c r="L283" s="3">
        <v>4</v>
      </c>
      <c r="M283" s="3">
        <v>555557.77</v>
      </c>
      <c r="N283" s="3">
        <v>86475.51</v>
      </c>
    </row>
    <row r="284" spans="1:14">
      <c r="A284" s="3" t="s">
        <v>92</v>
      </c>
      <c r="B284" s="4">
        <v>45717</v>
      </c>
      <c r="C284" s="3" t="s">
        <v>24</v>
      </c>
      <c r="D284" s="3" t="s">
        <v>18</v>
      </c>
      <c r="E284" s="3">
        <v>66104.19</v>
      </c>
      <c r="F284" s="3">
        <v>5745</v>
      </c>
      <c r="G284" s="3">
        <v>7.0000000000000007E-2</v>
      </c>
      <c r="H284" s="3">
        <v>17</v>
      </c>
      <c r="I284" s="3">
        <v>95.8</v>
      </c>
      <c r="J284" s="3">
        <v>3.15</v>
      </c>
      <c r="K284" s="3">
        <v>0</v>
      </c>
      <c r="L284" s="3">
        <v>4</v>
      </c>
      <c r="M284" s="3">
        <v>714083.68</v>
      </c>
      <c r="N284" s="3">
        <v>127231.74</v>
      </c>
    </row>
    <row r="285" spans="1:14">
      <c r="A285" s="3" t="s">
        <v>92</v>
      </c>
      <c r="B285" s="4">
        <v>45748</v>
      </c>
      <c r="C285" s="3" t="s">
        <v>24</v>
      </c>
      <c r="D285" s="3" t="s">
        <v>18</v>
      </c>
      <c r="E285" s="3">
        <v>18599.21</v>
      </c>
      <c r="F285" s="3">
        <v>3027</v>
      </c>
      <c r="G285" s="3">
        <v>0.122</v>
      </c>
      <c r="H285" s="3">
        <v>11</v>
      </c>
      <c r="I285" s="3">
        <v>80.900000000000006</v>
      </c>
      <c r="J285" s="3">
        <v>6.44</v>
      </c>
      <c r="K285" s="3">
        <v>0</v>
      </c>
      <c r="L285" s="3">
        <v>4.2</v>
      </c>
      <c r="M285" s="3">
        <v>497439.82</v>
      </c>
      <c r="N285" s="3">
        <v>93372.75</v>
      </c>
    </row>
    <row r="286" spans="1:14">
      <c r="A286" s="3" t="s">
        <v>93</v>
      </c>
      <c r="B286" s="4">
        <v>45658</v>
      </c>
      <c r="C286" s="3" t="s">
        <v>27</v>
      </c>
      <c r="D286" s="3" t="s">
        <v>16</v>
      </c>
      <c r="E286" s="3">
        <v>60183.06</v>
      </c>
      <c r="F286" s="3">
        <v>5562</v>
      </c>
      <c r="G286" s="3">
        <v>8.9999999999999993E-3</v>
      </c>
      <c r="H286" s="3">
        <v>13</v>
      </c>
      <c r="I286" s="3">
        <v>86.3</v>
      </c>
      <c r="J286" s="3">
        <v>0.2</v>
      </c>
      <c r="K286" s="3">
        <v>1</v>
      </c>
      <c r="L286" s="3">
        <v>4.5</v>
      </c>
      <c r="M286" s="3">
        <v>636775.66</v>
      </c>
      <c r="N286" s="3">
        <v>122636.86</v>
      </c>
    </row>
    <row r="287" spans="1:14">
      <c r="A287" s="3" t="s">
        <v>93</v>
      </c>
      <c r="B287" s="4">
        <v>45689</v>
      </c>
      <c r="C287" s="3" t="s">
        <v>27</v>
      </c>
      <c r="D287" s="3" t="s">
        <v>16</v>
      </c>
      <c r="E287" s="3">
        <v>74539.14</v>
      </c>
      <c r="F287" s="3">
        <v>4487</v>
      </c>
      <c r="G287" s="3">
        <v>0.14000000000000001</v>
      </c>
      <c r="H287" s="3">
        <v>10</v>
      </c>
      <c r="I287" s="3">
        <v>90.4</v>
      </c>
      <c r="J287" s="3">
        <v>0.59</v>
      </c>
      <c r="K287" s="3">
        <v>0</v>
      </c>
      <c r="L287" s="3">
        <v>4.5</v>
      </c>
      <c r="M287" s="3">
        <v>633009.53</v>
      </c>
      <c r="N287" s="3">
        <v>123782.67</v>
      </c>
    </row>
    <row r="288" spans="1:14">
      <c r="A288" s="3" t="s">
        <v>93</v>
      </c>
      <c r="B288" s="4">
        <v>45717</v>
      </c>
      <c r="C288" s="3" t="s">
        <v>27</v>
      </c>
      <c r="D288" s="3" t="s">
        <v>16</v>
      </c>
      <c r="E288" s="3">
        <v>55371.97</v>
      </c>
      <c r="F288" s="3">
        <v>4162</v>
      </c>
      <c r="G288" s="3">
        <v>0.183</v>
      </c>
      <c r="H288" s="3">
        <v>11</v>
      </c>
      <c r="I288" s="3">
        <v>92</v>
      </c>
      <c r="J288" s="3">
        <v>0.2</v>
      </c>
      <c r="K288" s="3">
        <v>1</v>
      </c>
      <c r="L288" s="3">
        <v>4.2</v>
      </c>
      <c r="M288" s="3">
        <v>609949</v>
      </c>
      <c r="N288" s="3">
        <v>126789.25</v>
      </c>
    </row>
    <row r="289" spans="1:14">
      <c r="A289" s="3" t="s">
        <v>93</v>
      </c>
      <c r="B289" s="4">
        <v>45748</v>
      </c>
      <c r="C289" s="3" t="s">
        <v>27</v>
      </c>
      <c r="D289" s="3" t="s">
        <v>16</v>
      </c>
      <c r="E289" s="3">
        <v>40928.69</v>
      </c>
      <c r="F289" s="3">
        <v>4094</v>
      </c>
      <c r="G289" s="3">
        <v>0.17399999999999999</v>
      </c>
      <c r="H289" s="3">
        <v>13</v>
      </c>
      <c r="I289" s="3">
        <v>82.4</v>
      </c>
      <c r="J289" s="3">
        <v>1.36</v>
      </c>
      <c r="K289" s="3">
        <v>0</v>
      </c>
      <c r="L289" s="3">
        <v>4.8</v>
      </c>
      <c r="M289" s="3">
        <v>548103.69999999995</v>
      </c>
      <c r="N289" s="3">
        <v>99905.52</v>
      </c>
    </row>
    <row r="290" spans="1:14">
      <c r="A290" s="3" t="s">
        <v>94</v>
      </c>
      <c r="B290" s="4">
        <v>45658</v>
      </c>
      <c r="C290" s="3" t="s">
        <v>15</v>
      </c>
      <c r="D290" s="3" t="s">
        <v>16</v>
      </c>
      <c r="E290" s="3">
        <v>70012.41</v>
      </c>
      <c r="F290" s="3">
        <v>8484</v>
      </c>
      <c r="G290" s="3">
        <v>0.27300000000000002</v>
      </c>
      <c r="H290" s="3">
        <v>23</v>
      </c>
      <c r="I290" s="3">
        <v>72.900000000000006</v>
      </c>
      <c r="J290" s="3">
        <v>3.34</v>
      </c>
      <c r="K290" s="3">
        <v>0</v>
      </c>
      <c r="L290" s="3">
        <v>3.7</v>
      </c>
      <c r="M290" s="3">
        <v>729424.42</v>
      </c>
      <c r="N290" s="3">
        <v>75592.28</v>
      </c>
    </row>
    <row r="291" spans="1:14">
      <c r="A291" s="3" t="s">
        <v>94</v>
      </c>
      <c r="B291" s="4">
        <v>45689</v>
      </c>
      <c r="C291" s="3" t="s">
        <v>15</v>
      </c>
      <c r="D291" s="3" t="s">
        <v>16</v>
      </c>
      <c r="E291" s="3">
        <v>68909.259999999995</v>
      </c>
      <c r="F291" s="3">
        <v>7794</v>
      </c>
      <c r="G291" s="3">
        <v>0.28399999999999997</v>
      </c>
      <c r="H291" s="3">
        <v>22</v>
      </c>
      <c r="I291" s="3">
        <v>89</v>
      </c>
      <c r="J291" s="3">
        <v>0.33</v>
      </c>
      <c r="K291" s="3">
        <v>0</v>
      </c>
      <c r="L291" s="3">
        <v>4</v>
      </c>
      <c r="M291" s="3">
        <v>696261.49</v>
      </c>
      <c r="N291" s="3">
        <v>72455.350000000006</v>
      </c>
    </row>
    <row r="292" spans="1:14">
      <c r="A292" s="3" t="s">
        <v>94</v>
      </c>
      <c r="B292" s="4">
        <v>45717</v>
      </c>
      <c r="C292" s="3" t="s">
        <v>15</v>
      </c>
      <c r="D292" s="3" t="s">
        <v>16</v>
      </c>
      <c r="E292" s="3">
        <v>56737.3</v>
      </c>
      <c r="F292" s="3">
        <v>8300</v>
      </c>
      <c r="G292" s="3">
        <v>3.2000000000000001E-2</v>
      </c>
      <c r="H292" s="3">
        <v>21</v>
      </c>
      <c r="I292" s="3">
        <v>83.2</v>
      </c>
      <c r="J292" s="3">
        <v>3.44</v>
      </c>
      <c r="K292" s="3">
        <v>1</v>
      </c>
      <c r="L292" s="3">
        <v>4.3</v>
      </c>
      <c r="M292" s="3">
        <v>813316.71</v>
      </c>
      <c r="N292" s="3">
        <v>110077.42</v>
      </c>
    </row>
    <row r="293" spans="1:14">
      <c r="A293" s="3" t="s">
        <v>94</v>
      </c>
      <c r="B293" s="4">
        <v>45748</v>
      </c>
      <c r="C293" s="3" t="s">
        <v>15</v>
      </c>
      <c r="D293" s="3" t="s">
        <v>16</v>
      </c>
      <c r="E293" s="3">
        <v>54080.91</v>
      </c>
      <c r="F293" s="3">
        <v>7083</v>
      </c>
      <c r="G293" s="3">
        <v>0</v>
      </c>
      <c r="H293" s="3">
        <v>15</v>
      </c>
      <c r="I293" s="3">
        <v>97</v>
      </c>
      <c r="J293" s="3">
        <v>5.33</v>
      </c>
      <c r="K293" s="3">
        <v>0</v>
      </c>
      <c r="L293" s="3">
        <v>4.0999999999999996</v>
      </c>
      <c r="M293" s="3">
        <v>702068.92</v>
      </c>
      <c r="N293" s="3">
        <v>111266.63</v>
      </c>
    </row>
    <row r="294" spans="1:14">
      <c r="A294" s="3" t="s">
        <v>95</v>
      </c>
      <c r="B294" s="4">
        <v>45658</v>
      </c>
      <c r="C294" s="3" t="s">
        <v>27</v>
      </c>
      <c r="D294" s="3" t="s">
        <v>18</v>
      </c>
      <c r="E294" s="3">
        <v>51996.32</v>
      </c>
      <c r="F294" s="3">
        <v>3834</v>
      </c>
      <c r="G294" s="3">
        <v>9.6000000000000002E-2</v>
      </c>
      <c r="H294" s="3">
        <v>8</v>
      </c>
      <c r="I294" s="3">
        <v>86.7</v>
      </c>
      <c r="J294" s="3">
        <v>6.04</v>
      </c>
      <c r="K294" s="3">
        <v>0</v>
      </c>
      <c r="L294" s="3">
        <v>4.5</v>
      </c>
      <c r="M294" s="3">
        <v>546223.69999999995</v>
      </c>
      <c r="N294" s="3">
        <v>100769.17</v>
      </c>
    </row>
    <row r="295" spans="1:14">
      <c r="A295" s="3" t="s">
        <v>95</v>
      </c>
      <c r="B295" s="4">
        <v>45689</v>
      </c>
      <c r="C295" s="3" t="s">
        <v>27</v>
      </c>
      <c r="D295" s="3" t="s">
        <v>18</v>
      </c>
      <c r="E295" s="3">
        <v>40102.879999999997</v>
      </c>
      <c r="F295" s="3">
        <v>2358</v>
      </c>
      <c r="G295" s="3">
        <v>0.11899999999999999</v>
      </c>
      <c r="H295" s="3">
        <v>9</v>
      </c>
      <c r="I295" s="3">
        <v>88.7</v>
      </c>
      <c r="J295" s="3">
        <v>1.6</v>
      </c>
      <c r="K295" s="3">
        <v>0</v>
      </c>
      <c r="L295" s="3">
        <v>4.2</v>
      </c>
      <c r="M295" s="3">
        <v>533121.26</v>
      </c>
      <c r="N295" s="3">
        <v>55063.39</v>
      </c>
    </row>
    <row r="296" spans="1:14">
      <c r="A296" s="3" t="s">
        <v>95</v>
      </c>
      <c r="B296" s="4">
        <v>45717</v>
      </c>
      <c r="C296" s="3" t="s">
        <v>27</v>
      </c>
      <c r="D296" s="3" t="s">
        <v>18</v>
      </c>
      <c r="E296" s="3">
        <v>59825.51</v>
      </c>
      <c r="F296" s="3">
        <v>1231</v>
      </c>
      <c r="G296" s="3">
        <v>0.214</v>
      </c>
      <c r="H296" s="3">
        <v>10</v>
      </c>
      <c r="I296" s="3">
        <v>84.8</v>
      </c>
      <c r="J296" s="3">
        <v>8.9600000000000009</v>
      </c>
      <c r="K296" s="3">
        <v>0</v>
      </c>
      <c r="L296" s="3">
        <v>4.7</v>
      </c>
      <c r="M296" s="3">
        <v>498970.32</v>
      </c>
      <c r="N296" s="3">
        <v>69656.7</v>
      </c>
    </row>
    <row r="297" spans="1:14">
      <c r="A297" s="3" t="s">
        <v>95</v>
      </c>
      <c r="B297" s="4">
        <v>45748</v>
      </c>
      <c r="C297" s="3" t="s">
        <v>27</v>
      </c>
      <c r="D297" s="3" t="s">
        <v>18</v>
      </c>
      <c r="E297" s="3">
        <v>27398.28</v>
      </c>
      <c r="F297" s="3">
        <v>1723</v>
      </c>
      <c r="G297" s="3">
        <v>0.17100000000000001</v>
      </c>
      <c r="H297" s="3">
        <v>9</v>
      </c>
      <c r="I297" s="3">
        <v>81</v>
      </c>
      <c r="J297" s="3">
        <v>0.74</v>
      </c>
      <c r="K297" s="3">
        <v>0</v>
      </c>
      <c r="L297" s="3">
        <v>4.5999999999999996</v>
      </c>
      <c r="M297" s="3">
        <v>487738.26</v>
      </c>
      <c r="N297" s="3">
        <v>96435.6</v>
      </c>
    </row>
    <row r="298" spans="1:14">
      <c r="A298" s="3" t="s">
        <v>96</v>
      </c>
      <c r="B298" s="4">
        <v>45658</v>
      </c>
      <c r="C298" s="3" t="s">
        <v>27</v>
      </c>
      <c r="D298" s="3" t="s">
        <v>18</v>
      </c>
      <c r="E298" s="3">
        <v>55599.56</v>
      </c>
      <c r="F298" s="3">
        <v>5896</v>
      </c>
      <c r="G298" s="3">
        <v>3.5999999999999997E-2</v>
      </c>
      <c r="H298" s="3">
        <v>12</v>
      </c>
      <c r="I298" s="3">
        <v>93.1</v>
      </c>
      <c r="J298" s="3">
        <v>6.13</v>
      </c>
      <c r="K298" s="3">
        <v>0</v>
      </c>
      <c r="L298" s="3">
        <v>3.3</v>
      </c>
      <c r="M298" s="3">
        <v>668459.37</v>
      </c>
      <c r="N298" s="3">
        <v>126435.42</v>
      </c>
    </row>
    <row r="299" spans="1:14">
      <c r="A299" s="3" t="s">
        <v>96</v>
      </c>
      <c r="B299" s="4">
        <v>45689</v>
      </c>
      <c r="C299" s="3" t="s">
        <v>27</v>
      </c>
      <c r="D299" s="3" t="s">
        <v>18</v>
      </c>
      <c r="E299" s="3">
        <v>55477.61</v>
      </c>
      <c r="F299" s="3">
        <v>5903</v>
      </c>
      <c r="G299" s="3">
        <v>0.10199999999999999</v>
      </c>
      <c r="H299" s="3">
        <v>14</v>
      </c>
      <c r="I299" s="3">
        <v>96.2</v>
      </c>
      <c r="J299" s="3">
        <v>1.41</v>
      </c>
      <c r="K299" s="3">
        <v>0</v>
      </c>
      <c r="L299" s="3">
        <v>3.3</v>
      </c>
      <c r="M299" s="3">
        <v>763162.45</v>
      </c>
      <c r="N299" s="3">
        <v>162524.04999999999</v>
      </c>
    </row>
    <row r="300" spans="1:14">
      <c r="A300" s="3" t="s">
        <v>96</v>
      </c>
      <c r="B300" s="4">
        <v>45717</v>
      </c>
      <c r="C300" s="3" t="s">
        <v>27</v>
      </c>
      <c r="D300" s="3" t="s">
        <v>18</v>
      </c>
      <c r="E300" s="3">
        <v>46174.7</v>
      </c>
      <c r="F300" s="3">
        <v>4898</v>
      </c>
      <c r="G300" s="3">
        <v>0.114</v>
      </c>
      <c r="H300" s="3">
        <v>11</v>
      </c>
      <c r="I300" s="3">
        <v>91.7</v>
      </c>
      <c r="J300" s="3">
        <v>3.75</v>
      </c>
      <c r="K300" s="3">
        <v>0</v>
      </c>
      <c r="L300" s="3">
        <v>3.1</v>
      </c>
      <c r="M300" s="3">
        <v>599017.32999999996</v>
      </c>
      <c r="N300" s="3">
        <v>134009.92000000001</v>
      </c>
    </row>
    <row r="301" spans="1:14">
      <c r="A301" s="3" t="s">
        <v>96</v>
      </c>
      <c r="B301" s="4">
        <v>45748</v>
      </c>
      <c r="C301" s="3" t="s">
        <v>27</v>
      </c>
      <c r="D301" s="3" t="s">
        <v>18</v>
      </c>
      <c r="E301" s="3">
        <v>24362.98</v>
      </c>
      <c r="F301" s="3">
        <v>1462</v>
      </c>
      <c r="G301" s="3">
        <v>0.11700000000000001</v>
      </c>
      <c r="H301" s="3">
        <v>6</v>
      </c>
      <c r="I301" s="3">
        <v>89.3</v>
      </c>
      <c r="J301" s="3">
        <v>15.06</v>
      </c>
      <c r="K301" s="3">
        <v>0</v>
      </c>
      <c r="L301" s="3">
        <v>3.2</v>
      </c>
      <c r="M301" s="3">
        <v>401582.58</v>
      </c>
      <c r="N301" s="3">
        <v>68454.929999999993</v>
      </c>
    </row>
    <row r="302" spans="1:14">
      <c r="A302" s="3" t="s">
        <v>97</v>
      </c>
      <c r="B302" s="4">
        <v>45658</v>
      </c>
      <c r="C302" s="3" t="s">
        <v>20</v>
      </c>
      <c r="D302" s="3" t="s">
        <v>28</v>
      </c>
      <c r="E302" s="3">
        <v>40647.67</v>
      </c>
      <c r="F302" s="3">
        <v>8252</v>
      </c>
      <c r="G302" s="3">
        <v>0.14099999999999999</v>
      </c>
      <c r="H302" s="3">
        <v>22</v>
      </c>
      <c r="I302" s="3">
        <v>88.2</v>
      </c>
      <c r="J302" s="3">
        <v>5.07</v>
      </c>
      <c r="K302" s="3">
        <v>1</v>
      </c>
      <c r="L302" s="3">
        <v>4.0999999999999996</v>
      </c>
      <c r="M302" s="3">
        <v>703812.99</v>
      </c>
      <c r="N302" s="3">
        <v>133577.98000000001</v>
      </c>
    </row>
    <row r="303" spans="1:14">
      <c r="A303" s="3" t="s">
        <v>97</v>
      </c>
      <c r="B303" s="4">
        <v>45689</v>
      </c>
      <c r="C303" s="3" t="s">
        <v>20</v>
      </c>
      <c r="D303" s="3" t="s">
        <v>28</v>
      </c>
      <c r="E303" s="3">
        <v>63986.98</v>
      </c>
      <c r="F303" s="3">
        <v>7989</v>
      </c>
      <c r="G303" s="3">
        <v>7.3999999999999996E-2</v>
      </c>
      <c r="H303" s="3">
        <v>20</v>
      </c>
      <c r="I303" s="3">
        <v>83.3</v>
      </c>
      <c r="J303" s="3">
        <v>3.6</v>
      </c>
      <c r="K303" s="3">
        <v>0</v>
      </c>
      <c r="L303" s="3">
        <v>3.7</v>
      </c>
      <c r="M303" s="3">
        <v>724346.73</v>
      </c>
      <c r="N303" s="3">
        <v>155013.91</v>
      </c>
    </row>
    <row r="304" spans="1:14">
      <c r="A304" s="3" t="s">
        <v>97</v>
      </c>
      <c r="B304" s="4">
        <v>45717</v>
      </c>
      <c r="C304" s="3" t="s">
        <v>20</v>
      </c>
      <c r="D304" s="3" t="s">
        <v>28</v>
      </c>
      <c r="E304" s="3">
        <v>52843.75</v>
      </c>
      <c r="F304" s="3">
        <v>8268</v>
      </c>
      <c r="G304" s="3">
        <v>0.13800000000000001</v>
      </c>
      <c r="H304" s="3">
        <v>19</v>
      </c>
      <c r="I304" s="3">
        <v>87.3</v>
      </c>
      <c r="J304" s="3">
        <v>4.3899999999999997</v>
      </c>
      <c r="K304" s="3">
        <v>1</v>
      </c>
      <c r="L304" s="3">
        <v>4.7</v>
      </c>
      <c r="M304" s="3">
        <v>730890.01</v>
      </c>
      <c r="N304" s="3">
        <v>105502.56</v>
      </c>
    </row>
    <row r="305" spans="1:14">
      <c r="A305" s="3" t="s">
        <v>97</v>
      </c>
      <c r="B305" s="4">
        <v>45748</v>
      </c>
      <c r="C305" s="3" t="s">
        <v>20</v>
      </c>
      <c r="D305" s="3" t="s">
        <v>28</v>
      </c>
      <c r="E305" s="3">
        <v>31997.25</v>
      </c>
      <c r="F305" s="3">
        <v>8183</v>
      </c>
      <c r="G305" s="3">
        <v>0.19800000000000001</v>
      </c>
      <c r="H305" s="3">
        <v>18</v>
      </c>
      <c r="I305" s="3">
        <v>93</v>
      </c>
      <c r="J305" s="3">
        <v>2.79</v>
      </c>
      <c r="K305" s="3">
        <v>0</v>
      </c>
      <c r="L305" s="3">
        <v>4.2</v>
      </c>
      <c r="M305" s="3">
        <v>780580.95</v>
      </c>
      <c r="N305" s="3">
        <v>138144.46</v>
      </c>
    </row>
    <row r="306" spans="1:14">
      <c r="A306" s="3" t="s">
        <v>98</v>
      </c>
      <c r="B306" s="4">
        <v>45658</v>
      </c>
      <c r="C306" s="3" t="s">
        <v>24</v>
      </c>
      <c r="D306" s="3" t="s">
        <v>16</v>
      </c>
      <c r="E306" s="3">
        <v>54948.02</v>
      </c>
      <c r="F306" s="3">
        <v>6534</v>
      </c>
      <c r="G306" s="3">
        <v>0.183</v>
      </c>
      <c r="H306" s="3">
        <v>14</v>
      </c>
      <c r="I306" s="3">
        <v>94.5</v>
      </c>
      <c r="J306" s="3">
        <v>1.56</v>
      </c>
      <c r="K306" s="3">
        <v>0</v>
      </c>
      <c r="L306" s="3">
        <v>4</v>
      </c>
      <c r="M306" s="3">
        <v>727957.48</v>
      </c>
      <c r="N306" s="3">
        <v>74805.23</v>
      </c>
    </row>
    <row r="307" spans="1:14">
      <c r="A307" s="3" t="s">
        <v>98</v>
      </c>
      <c r="B307" s="4">
        <v>45689</v>
      </c>
      <c r="C307" s="3" t="s">
        <v>24</v>
      </c>
      <c r="D307" s="3" t="s">
        <v>16</v>
      </c>
      <c r="E307" s="3">
        <v>46146.239999999998</v>
      </c>
      <c r="F307" s="3">
        <v>5804</v>
      </c>
      <c r="G307" s="3">
        <v>4.7E-2</v>
      </c>
      <c r="H307" s="3">
        <v>16</v>
      </c>
      <c r="I307" s="3">
        <v>86.9</v>
      </c>
      <c r="J307" s="3">
        <v>15.82</v>
      </c>
      <c r="K307" s="3">
        <v>0</v>
      </c>
      <c r="L307" s="3">
        <v>3.8</v>
      </c>
      <c r="M307" s="3">
        <v>538376</v>
      </c>
      <c r="N307" s="3">
        <v>87605.62</v>
      </c>
    </row>
    <row r="308" spans="1:14">
      <c r="A308" s="3" t="s">
        <v>98</v>
      </c>
      <c r="B308" s="4">
        <v>45717</v>
      </c>
      <c r="C308" s="3" t="s">
        <v>24</v>
      </c>
      <c r="D308" s="3" t="s">
        <v>16</v>
      </c>
      <c r="E308" s="3">
        <v>22387.26</v>
      </c>
      <c r="F308" s="3">
        <v>6301</v>
      </c>
      <c r="G308" s="3">
        <v>0.14599999999999999</v>
      </c>
      <c r="H308" s="3">
        <v>14</v>
      </c>
      <c r="I308" s="3">
        <v>85.9</v>
      </c>
      <c r="J308" s="3">
        <v>1.17</v>
      </c>
      <c r="K308" s="3">
        <v>1</v>
      </c>
      <c r="L308" s="3">
        <v>3.7</v>
      </c>
      <c r="M308" s="3">
        <v>665342.49</v>
      </c>
      <c r="N308" s="3">
        <v>93441.81</v>
      </c>
    </row>
    <row r="309" spans="1:14">
      <c r="A309" s="3" t="s">
        <v>98</v>
      </c>
      <c r="B309" s="4">
        <v>45748</v>
      </c>
      <c r="C309" s="3" t="s">
        <v>24</v>
      </c>
      <c r="D309" s="3" t="s">
        <v>16</v>
      </c>
      <c r="E309" s="3">
        <v>60684.05</v>
      </c>
      <c r="F309" s="3">
        <v>6399</v>
      </c>
      <c r="G309" s="3">
        <v>7.4999999999999997E-2</v>
      </c>
      <c r="H309" s="3">
        <v>16</v>
      </c>
      <c r="I309" s="3">
        <v>99</v>
      </c>
      <c r="J309" s="3">
        <v>3.82</v>
      </c>
      <c r="K309" s="3">
        <v>0</v>
      </c>
      <c r="L309" s="3">
        <v>3.5</v>
      </c>
      <c r="M309" s="3">
        <v>651164.18000000005</v>
      </c>
      <c r="N309" s="3">
        <v>109466.5</v>
      </c>
    </row>
    <row r="310" spans="1:14">
      <c r="A310" s="3" t="s">
        <v>99</v>
      </c>
      <c r="B310" s="4">
        <v>45658</v>
      </c>
      <c r="C310" s="3" t="s">
        <v>24</v>
      </c>
      <c r="D310" s="3" t="s">
        <v>18</v>
      </c>
      <c r="E310" s="3">
        <v>48465.599999999999</v>
      </c>
      <c r="F310" s="3">
        <v>5759</v>
      </c>
      <c r="G310" s="3">
        <v>0.154</v>
      </c>
      <c r="H310" s="3">
        <v>13</v>
      </c>
      <c r="I310" s="3">
        <v>87.5</v>
      </c>
      <c r="J310" s="3">
        <v>4.1399999999999997</v>
      </c>
      <c r="K310" s="3">
        <v>0</v>
      </c>
      <c r="L310" s="3">
        <v>4</v>
      </c>
      <c r="M310" s="3">
        <v>628538.30000000005</v>
      </c>
      <c r="N310" s="3">
        <v>112509.15</v>
      </c>
    </row>
    <row r="311" spans="1:14">
      <c r="A311" s="3" t="s">
        <v>99</v>
      </c>
      <c r="B311" s="4">
        <v>45689</v>
      </c>
      <c r="C311" s="3" t="s">
        <v>24</v>
      </c>
      <c r="D311" s="3" t="s">
        <v>18</v>
      </c>
      <c r="E311" s="3">
        <v>23702.38</v>
      </c>
      <c r="F311" s="3">
        <v>5285</v>
      </c>
      <c r="G311" s="3">
        <v>0.16700000000000001</v>
      </c>
      <c r="H311" s="3">
        <v>14</v>
      </c>
      <c r="I311" s="3">
        <v>79.7</v>
      </c>
      <c r="J311" s="3">
        <v>1.1000000000000001</v>
      </c>
      <c r="K311" s="3">
        <v>0</v>
      </c>
      <c r="L311" s="3">
        <v>4.3</v>
      </c>
      <c r="M311" s="3">
        <v>536524.84</v>
      </c>
      <c r="N311" s="3">
        <v>92752.94</v>
      </c>
    </row>
    <row r="312" spans="1:14">
      <c r="A312" s="3" t="s">
        <v>99</v>
      </c>
      <c r="B312" s="4">
        <v>45717</v>
      </c>
      <c r="C312" s="3" t="s">
        <v>24</v>
      </c>
      <c r="D312" s="3" t="s">
        <v>18</v>
      </c>
      <c r="E312" s="3">
        <v>54322.94</v>
      </c>
      <c r="F312" s="3">
        <v>5434</v>
      </c>
      <c r="G312" s="3">
        <v>0.2</v>
      </c>
      <c r="H312" s="3">
        <v>13</v>
      </c>
      <c r="I312" s="3">
        <v>85.7</v>
      </c>
      <c r="J312" s="3">
        <v>10.6</v>
      </c>
      <c r="K312" s="3">
        <v>0</v>
      </c>
      <c r="L312" s="3">
        <v>4.2</v>
      </c>
      <c r="M312" s="3">
        <v>621677.30000000005</v>
      </c>
      <c r="N312" s="3">
        <v>105192.52</v>
      </c>
    </row>
    <row r="313" spans="1:14">
      <c r="A313" s="3" t="s">
        <v>99</v>
      </c>
      <c r="B313" s="4">
        <v>45748</v>
      </c>
      <c r="C313" s="3" t="s">
        <v>24</v>
      </c>
      <c r="D313" s="3" t="s">
        <v>18</v>
      </c>
      <c r="E313" s="3">
        <v>86026.58</v>
      </c>
      <c r="F313" s="3">
        <v>7479</v>
      </c>
      <c r="G313" s="3">
        <v>0.14199999999999999</v>
      </c>
      <c r="H313" s="3">
        <v>20</v>
      </c>
      <c r="I313" s="3">
        <v>89</v>
      </c>
      <c r="J313" s="3">
        <v>0.9</v>
      </c>
      <c r="K313" s="3">
        <v>0</v>
      </c>
      <c r="L313" s="5">
        <v>3.9</v>
      </c>
      <c r="M313" s="3">
        <v>771129.07</v>
      </c>
      <c r="N313" s="3">
        <v>116851.13</v>
      </c>
    </row>
    <row r="314" spans="1:14">
      <c r="A314" s="3" t="s">
        <v>100</v>
      </c>
      <c r="B314" s="4">
        <v>45658</v>
      </c>
      <c r="C314" s="3" t="s">
        <v>20</v>
      </c>
      <c r="D314" s="3" t="s">
        <v>16</v>
      </c>
      <c r="E314" s="3">
        <v>78967.520000000004</v>
      </c>
      <c r="F314" s="3">
        <v>6164</v>
      </c>
      <c r="G314" s="3">
        <v>2.1000000000000001E-2</v>
      </c>
      <c r="H314" s="3">
        <v>16</v>
      </c>
      <c r="I314" s="3">
        <v>85.5</v>
      </c>
      <c r="J314" s="3">
        <v>0.2</v>
      </c>
      <c r="K314" s="3">
        <v>0</v>
      </c>
      <c r="L314" s="3">
        <v>3.4</v>
      </c>
      <c r="M314" s="3">
        <v>702052.47</v>
      </c>
      <c r="N314" s="3">
        <v>121732.51</v>
      </c>
    </row>
    <row r="315" spans="1:14">
      <c r="A315" s="3" t="s">
        <v>100</v>
      </c>
      <c r="B315" s="4">
        <v>45689</v>
      </c>
      <c r="C315" s="3" t="s">
        <v>20</v>
      </c>
      <c r="D315" s="3" t="s">
        <v>16</v>
      </c>
      <c r="E315" s="3">
        <v>46767.99</v>
      </c>
      <c r="F315" s="3">
        <v>7973</v>
      </c>
      <c r="G315" s="3">
        <v>0.183</v>
      </c>
      <c r="H315" s="3">
        <v>18</v>
      </c>
      <c r="I315" s="3">
        <v>94.8</v>
      </c>
      <c r="J315" s="3">
        <v>4.67</v>
      </c>
      <c r="K315" s="3">
        <v>0</v>
      </c>
      <c r="L315" s="5">
        <v>3.9</v>
      </c>
      <c r="M315" s="3">
        <v>688368.46</v>
      </c>
      <c r="N315" s="3">
        <v>93588.42</v>
      </c>
    </row>
    <row r="316" spans="1:14">
      <c r="A316" s="3" t="s">
        <v>100</v>
      </c>
      <c r="B316" s="4">
        <v>45717</v>
      </c>
      <c r="C316" s="3" t="s">
        <v>20</v>
      </c>
      <c r="D316" s="3" t="s">
        <v>16</v>
      </c>
      <c r="E316" s="3">
        <v>62507.16</v>
      </c>
      <c r="F316" s="3">
        <v>6000</v>
      </c>
      <c r="G316" s="3">
        <v>9.0999999999999998E-2</v>
      </c>
      <c r="H316" s="3">
        <v>14</v>
      </c>
      <c r="I316" s="3">
        <v>98.2</v>
      </c>
      <c r="J316" s="3">
        <v>4.38</v>
      </c>
      <c r="K316" s="3">
        <v>1</v>
      </c>
      <c r="L316" s="3">
        <v>3.9</v>
      </c>
      <c r="M316" s="3">
        <v>712375.77</v>
      </c>
      <c r="N316" s="3">
        <v>104171.53</v>
      </c>
    </row>
    <row r="317" spans="1:14">
      <c r="A317" s="3" t="s">
        <v>100</v>
      </c>
      <c r="B317" s="4">
        <v>45748</v>
      </c>
      <c r="C317" s="3" t="s">
        <v>20</v>
      </c>
      <c r="D317" s="3" t="s">
        <v>16</v>
      </c>
      <c r="E317" s="3">
        <v>66456.28</v>
      </c>
      <c r="F317" s="3">
        <v>9967</v>
      </c>
      <c r="G317" s="3">
        <v>0.108</v>
      </c>
      <c r="H317" s="3">
        <v>20</v>
      </c>
      <c r="I317" s="3">
        <v>94.7</v>
      </c>
      <c r="J317" s="3">
        <v>4.4800000000000004</v>
      </c>
      <c r="K317" s="3">
        <v>0</v>
      </c>
      <c r="L317" s="3">
        <v>4.2</v>
      </c>
      <c r="M317" s="3">
        <v>844710.67</v>
      </c>
      <c r="N317" s="3">
        <v>137140.18</v>
      </c>
    </row>
    <row r="318" spans="1:14">
      <c r="A318" s="3" t="s">
        <v>101</v>
      </c>
      <c r="B318" s="4">
        <v>45658</v>
      </c>
      <c r="C318" s="3" t="s">
        <v>15</v>
      </c>
      <c r="D318" s="3" t="s">
        <v>16</v>
      </c>
      <c r="E318" s="3">
        <v>76614.320000000007</v>
      </c>
      <c r="F318" s="3">
        <v>5639</v>
      </c>
      <c r="G318" s="3">
        <v>0.17399999999999999</v>
      </c>
      <c r="H318" s="3">
        <v>15</v>
      </c>
      <c r="I318" s="3">
        <v>92.9</v>
      </c>
      <c r="J318" s="3">
        <v>1.02</v>
      </c>
      <c r="K318" s="3">
        <v>1</v>
      </c>
      <c r="L318" s="3">
        <v>4</v>
      </c>
      <c r="M318" s="3">
        <v>620264.19999999995</v>
      </c>
      <c r="N318" s="3">
        <v>91365.64</v>
      </c>
    </row>
    <row r="319" spans="1:14">
      <c r="A319" s="3" t="s">
        <v>101</v>
      </c>
      <c r="B319" s="4">
        <v>45689</v>
      </c>
      <c r="C319" s="3" t="s">
        <v>15</v>
      </c>
      <c r="D319" s="3" t="s">
        <v>16</v>
      </c>
      <c r="E319" s="3">
        <v>24088.06</v>
      </c>
      <c r="F319" s="3">
        <v>3466</v>
      </c>
      <c r="G319" s="3">
        <v>0</v>
      </c>
      <c r="H319" s="3">
        <v>11</v>
      </c>
      <c r="I319" s="3">
        <v>88</v>
      </c>
      <c r="J319" s="3">
        <v>0.2</v>
      </c>
      <c r="K319" s="3">
        <v>0</v>
      </c>
      <c r="L319" s="3">
        <v>3.8</v>
      </c>
      <c r="M319" s="3">
        <v>536845.42000000004</v>
      </c>
      <c r="N319" s="3">
        <v>107473.75</v>
      </c>
    </row>
    <row r="320" spans="1:14">
      <c r="A320" s="3" t="s">
        <v>101</v>
      </c>
      <c r="B320" s="4">
        <v>45717</v>
      </c>
      <c r="C320" s="3" t="s">
        <v>15</v>
      </c>
      <c r="D320" s="3" t="s">
        <v>16</v>
      </c>
      <c r="E320" s="3">
        <v>81902.58</v>
      </c>
      <c r="F320" s="3">
        <v>7775</v>
      </c>
      <c r="G320" s="3">
        <v>0.215</v>
      </c>
      <c r="H320" s="3">
        <v>20</v>
      </c>
      <c r="I320" s="3">
        <v>85.2</v>
      </c>
      <c r="J320" s="3">
        <v>4.8899999999999997</v>
      </c>
      <c r="K320" s="3">
        <v>1</v>
      </c>
      <c r="L320" s="3">
        <v>4.2</v>
      </c>
      <c r="M320" s="3">
        <v>726776.22</v>
      </c>
      <c r="N320" s="3">
        <v>90804.49</v>
      </c>
    </row>
    <row r="321" spans="1:14">
      <c r="A321" s="3" t="s">
        <v>101</v>
      </c>
      <c r="B321" s="4">
        <v>45748</v>
      </c>
      <c r="C321" s="3" t="s">
        <v>15</v>
      </c>
      <c r="D321" s="3" t="s">
        <v>16</v>
      </c>
      <c r="E321" s="3">
        <v>40553.11</v>
      </c>
      <c r="F321" s="3">
        <v>5317</v>
      </c>
      <c r="G321" s="3">
        <v>0.16500000000000001</v>
      </c>
      <c r="H321" s="3">
        <v>17</v>
      </c>
      <c r="I321" s="3">
        <v>84.3</v>
      </c>
      <c r="J321" s="3">
        <v>11.82</v>
      </c>
      <c r="K321" s="3">
        <v>0</v>
      </c>
      <c r="L321" s="3">
        <v>4.0999999999999996</v>
      </c>
      <c r="M321" s="3">
        <v>559660.84</v>
      </c>
      <c r="N321" s="3">
        <v>71443.61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BB5E-4E5E-4DA8-9718-B5FC0B91513B}">
  <dimension ref="A1:I18"/>
  <sheetViews>
    <sheetView workbookViewId="0">
      <selection activeCell="B18" sqref="B18"/>
    </sheetView>
  </sheetViews>
  <sheetFormatPr defaultRowHeight="13.8"/>
  <cols>
    <col min="1" max="1" width="18.296875" bestFit="1" customWidth="1"/>
    <col min="2" max="2" width="11.8984375" bestFit="1" customWidth="1"/>
    <col min="3" max="3" width="13.3984375" bestFit="1" customWidth="1"/>
    <col min="4" max="5" width="12.19921875" bestFit="1" customWidth="1"/>
    <col min="6" max="6" width="13.09765625" bestFit="1" customWidth="1"/>
    <col min="7" max="7" width="11.8984375" bestFit="1" customWidth="1"/>
    <col min="8" max="9" width="12" bestFit="1" customWidth="1"/>
  </cols>
  <sheetData>
    <row r="1" spans="1:9">
      <c r="A1" t="s">
        <v>108</v>
      </c>
    </row>
    <row r="2" spans="1:9" ht="14.4" thickBot="1"/>
    <row r="3" spans="1:9" ht="14.4">
      <c r="A3" s="10" t="s">
        <v>109</v>
      </c>
      <c r="B3" s="10"/>
    </row>
    <row r="4" spans="1:9">
      <c r="A4" s="7" t="s">
        <v>110</v>
      </c>
      <c r="B4" s="7">
        <v>0.40895561021322352</v>
      </c>
    </row>
    <row r="5" spans="1:9">
      <c r="A5" s="7" t="s">
        <v>111</v>
      </c>
      <c r="B5" s="7">
        <v>0.16724469112487</v>
      </c>
    </row>
    <row r="6" spans="1:9">
      <c r="A6" s="7" t="s">
        <v>112</v>
      </c>
      <c r="B6" s="7">
        <v>0.16462596373847024</v>
      </c>
    </row>
    <row r="7" spans="1:9">
      <c r="A7" s="7" t="s">
        <v>113</v>
      </c>
      <c r="B7" s="7">
        <v>94846.03383215853</v>
      </c>
    </row>
    <row r="8" spans="1:9" ht="14.4" thickBot="1">
      <c r="A8" s="8" t="s">
        <v>114</v>
      </c>
      <c r="B8" s="8">
        <v>320</v>
      </c>
    </row>
    <row r="10" spans="1:9" ht="14.4" thickBot="1">
      <c r="A10" t="s">
        <v>115</v>
      </c>
    </row>
    <row r="11" spans="1:9" ht="14.4">
      <c r="A11" s="9"/>
      <c r="B11" s="9" t="s">
        <v>120</v>
      </c>
      <c r="C11" s="9" t="s">
        <v>121</v>
      </c>
      <c r="D11" s="9" t="s">
        <v>122</v>
      </c>
      <c r="E11" s="9" t="s">
        <v>123</v>
      </c>
      <c r="F11" s="9" t="s">
        <v>124</v>
      </c>
    </row>
    <row r="12" spans="1:9">
      <c r="A12" s="7" t="s">
        <v>116</v>
      </c>
      <c r="B12" s="7">
        <v>1</v>
      </c>
      <c r="C12" s="7">
        <v>574513714277.01416</v>
      </c>
      <c r="D12" s="7">
        <v>574513714277.01416</v>
      </c>
      <c r="E12" s="7">
        <v>63.864872683367629</v>
      </c>
      <c r="F12" s="7">
        <v>2.4800615101359619E-14</v>
      </c>
    </row>
    <row r="13" spans="1:9">
      <c r="A13" s="7" t="s">
        <v>117</v>
      </c>
      <c r="B13" s="7">
        <v>318</v>
      </c>
      <c r="C13" s="7">
        <v>2860654902513.7251</v>
      </c>
      <c r="D13" s="7">
        <v>8995770133.6909599</v>
      </c>
      <c r="E13" s="7"/>
      <c r="F13" s="7"/>
    </row>
    <row r="14" spans="1:9" ht="14.4" thickBot="1">
      <c r="A14" s="8" t="s">
        <v>118</v>
      </c>
      <c r="B14" s="8">
        <v>319</v>
      </c>
      <c r="C14" s="8">
        <v>3435168616790.7393</v>
      </c>
      <c r="D14" s="8"/>
      <c r="E14" s="8"/>
      <c r="F14" s="8"/>
    </row>
    <row r="15" spans="1:9" ht="14.4" thickBot="1"/>
    <row r="16" spans="1:9" ht="14.4">
      <c r="A16" s="9"/>
      <c r="B16" s="9" t="s">
        <v>125</v>
      </c>
      <c r="C16" s="9" t="s">
        <v>113</v>
      </c>
      <c r="D16" s="9" t="s">
        <v>126</v>
      </c>
      <c r="E16" s="9" t="s">
        <v>127</v>
      </c>
      <c r="F16" s="9" t="s">
        <v>128</v>
      </c>
      <c r="G16" s="9" t="s">
        <v>129</v>
      </c>
      <c r="H16" s="9" t="s">
        <v>130</v>
      </c>
      <c r="I16" s="9" t="s">
        <v>131</v>
      </c>
    </row>
    <row r="17" spans="1:9">
      <c r="A17" s="7" t="s">
        <v>119</v>
      </c>
      <c r="B17" s="7">
        <v>560777.34544943704</v>
      </c>
      <c r="C17" s="7">
        <v>15906.905953068674</v>
      </c>
      <c r="D17" s="7">
        <v>35.253703460870398</v>
      </c>
      <c r="E17" s="7">
        <v>6.952876876284135E-112</v>
      </c>
      <c r="F17" s="7">
        <v>529481.27234763221</v>
      </c>
      <c r="G17" s="7">
        <v>592073.41855124186</v>
      </c>
      <c r="H17" s="7">
        <v>529481.27234763221</v>
      </c>
      <c r="I17" s="7">
        <v>592073.41855124186</v>
      </c>
    </row>
    <row r="18" spans="1:9" ht="14.4" thickBot="1">
      <c r="A18" s="8" t="s">
        <v>4</v>
      </c>
      <c r="B18" s="8">
        <v>2.1295753275898299</v>
      </c>
      <c r="C18" s="8">
        <v>0.26647838106932348</v>
      </c>
      <c r="D18" s="8">
        <v>7.991550080138869</v>
      </c>
      <c r="E18" s="11">
        <v>2.4800615101360099E-14</v>
      </c>
      <c r="F18" s="8">
        <v>1.6052919176921738</v>
      </c>
      <c r="G18" s="8">
        <v>2.6538587374874822</v>
      </c>
      <c r="H18" s="8">
        <v>1.6052919176921738</v>
      </c>
      <c r="I18" s="8">
        <v>2.6538587374874822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6556-C265-487C-8AA1-8B839FB3B9B2}">
  <dimension ref="A1:I18"/>
  <sheetViews>
    <sheetView workbookViewId="0">
      <selection activeCell="B18" sqref="B18"/>
    </sheetView>
  </sheetViews>
  <sheetFormatPr defaultRowHeight="13.8"/>
  <cols>
    <col min="1" max="1" width="19.8984375" bestFit="1" customWidth="1"/>
    <col min="2" max="2" width="11.8984375" bestFit="1" customWidth="1"/>
    <col min="3" max="3" width="13.3984375" bestFit="1" customWidth="1"/>
    <col min="4" max="5" width="12.19921875" bestFit="1" customWidth="1"/>
    <col min="6" max="6" width="13.09765625" bestFit="1" customWidth="1"/>
    <col min="7" max="7" width="11.8984375" bestFit="1" customWidth="1"/>
    <col min="8" max="9" width="12" bestFit="1" customWidth="1"/>
  </cols>
  <sheetData>
    <row r="1" spans="1:9">
      <c r="A1" t="s">
        <v>108</v>
      </c>
    </row>
    <row r="2" spans="1:9" ht="14.4" thickBot="1"/>
    <row r="3" spans="1:9" ht="14.4">
      <c r="A3" s="10" t="s">
        <v>109</v>
      </c>
      <c r="B3" s="10"/>
    </row>
    <row r="4" spans="1:9">
      <c r="A4" s="7" t="s">
        <v>110</v>
      </c>
      <c r="B4" s="7">
        <v>0.85807070804410468</v>
      </c>
    </row>
    <row r="5" spans="1:9">
      <c r="A5" s="7" t="s">
        <v>111</v>
      </c>
      <c r="B5" s="7">
        <v>0.73628534000331103</v>
      </c>
    </row>
    <row r="6" spans="1:9">
      <c r="A6" s="7" t="s">
        <v>112</v>
      </c>
      <c r="B6" s="7">
        <v>0.73545604861967373</v>
      </c>
    </row>
    <row r="7" spans="1:9">
      <c r="A7" s="7" t="s">
        <v>113</v>
      </c>
      <c r="B7" s="7">
        <v>53373.736380790499</v>
      </c>
    </row>
    <row r="8" spans="1:9" ht="14.4" thickBot="1">
      <c r="A8" s="8" t="s">
        <v>114</v>
      </c>
      <c r="B8" s="8">
        <v>320</v>
      </c>
    </row>
    <row r="10" spans="1:9" ht="14.4" thickBot="1">
      <c r="A10" t="s">
        <v>115</v>
      </c>
    </row>
    <row r="11" spans="1:9" ht="14.4">
      <c r="A11" s="9"/>
      <c r="B11" s="9" t="s">
        <v>120</v>
      </c>
      <c r="C11" s="9" t="s">
        <v>121</v>
      </c>
      <c r="D11" s="9" t="s">
        <v>122</v>
      </c>
      <c r="E11" s="9" t="s">
        <v>123</v>
      </c>
      <c r="F11" s="9" t="s">
        <v>124</v>
      </c>
    </row>
    <row r="12" spans="1:9">
      <c r="A12" s="7" t="s">
        <v>116</v>
      </c>
      <c r="B12" s="7">
        <v>1</v>
      </c>
      <c r="C12" s="7">
        <v>2529264292982.4736</v>
      </c>
      <c r="D12" s="7">
        <v>2529264292982.4736</v>
      </c>
      <c r="E12" s="7">
        <v>887.84877611276033</v>
      </c>
      <c r="F12" s="7">
        <v>4.7503615090053331E-94</v>
      </c>
    </row>
    <row r="13" spans="1:9">
      <c r="A13" s="7" t="s">
        <v>117</v>
      </c>
      <c r="B13" s="7">
        <v>318</v>
      </c>
      <c r="C13" s="7">
        <v>905904323808.26587</v>
      </c>
      <c r="D13" s="7">
        <v>2848755735.246119</v>
      </c>
      <c r="E13" s="7"/>
      <c r="F13" s="7"/>
    </row>
    <row r="14" spans="1:9" ht="14.4" thickBot="1">
      <c r="A14" s="8" t="s">
        <v>118</v>
      </c>
      <c r="B14" s="8">
        <v>319</v>
      </c>
      <c r="C14" s="8">
        <v>3435168616790.7393</v>
      </c>
      <c r="D14" s="8"/>
      <c r="E14" s="8"/>
      <c r="F14" s="8"/>
    </row>
    <row r="15" spans="1:9" ht="14.4" thickBot="1"/>
    <row r="16" spans="1:9" ht="14.4">
      <c r="A16" s="9"/>
      <c r="B16" s="9" t="s">
        <v>125</v>
      </c>
      <c r="C16" s="9" t="s">
        <v>113</v>
      </c>
      <c r="D16" s="9" t="s">
        <v>126</v>
      </c>
      <c r="E16" s="9" t="s">
        <v>127</v>
      </c>
      <c r="F16" s="9" t="s">
        <v>128</v>
      </c>
      <c r="G16" s="9" t="s">
        <v>129</v>
      </c>
      <c r="H16" s="9" t="s">
        <v>130</v>
      </c>
      <c r="I16" s="9" t="s">
        <v>131</v>
      </c>
    </row>
    <row r="17" spans="1:9">
      <c r="A17" s="7" t="s">
        <v>119</v>
      </c>
      <c r="B17" s="7">
        <v>446410.58293395297</v>
      </c>
      <c r="C17" s="7">
        <v>8407.7382630059928</v>
      </c>
      <c r="D17" s="7">
        <v>53.095204556754318</v>
      </c>
      <c r="E17" s="7">
        <v>4.0862695711507226E-160</v>
      </c>
      <c r="F17" s="7">
        <v>429868.76191129786</v>
      </c>
      <c r="G17" s="7">
        <v>462952.40395660902</v>
      </c>
      <c r="H17" s="7">
        <v>429868.76191129786</v>
      </c>
      <c r="I17" s="7">
        <v>462952.40395660902</v>
      </c>
    </row>
    <row r="18" spans="1:9" ht="14.4" thickBot="1">
      <c r="A18" s="8" t="s">
        <v>5</v>
      </c>
      <c r="B18" s="8">
        <v>35.678031072640501</v>
      </c>
      <c r="C18" s="8">
        <v>1.1973782890340821</v>
      </c>
      <c r="D18" s="8">
        <v>29.796791372776362</v>
      </c>
      <c r="E18" s="11">
        <v>4.7503615090054699E-94</v>
      </c>
      <c r="F18" s="8">
        <v>33.322246825554025</v>
      </c>
      <c r="G18" s="8">
        <v>38.033815319726891</v>
      </c>
      <c r="H18" s="8">
        <v>33.322246825554025</v>
      </c>
      <c r="I18" s="8">
        <v>38.033815319726891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8CDA-3FBD-4D5A-8011-96C1248F4F40}">
  <dimension ref="B3:E10"/>
  <sheetViews>
    <sheetView workbookViewId="0">
      <selection activeCell="E6" sqref="E6"/>
    </sheetView>
  </sheetViews>
  <sheetFormatPr defaultRowHeight="13.8"/>
  <cols>
    <col min="2" max="2" width="7" bestFit="1" customWidth="1"/>
    <col min="3" max="3" width="32.09765625" bestFit="1" customWidth="1"/>
    <col min="4" max="4" width="49.3984375" bestFit="1" customWidth="1"/>
    <col min="5" max="5" width="48.59765625" customWidth="1"/>
  </cols>
  <sheetData>
    <row r="3" spans="2:5">
      <c r="B3" s="3" t="s">
        <v>142</v>
      </c>
      <c r="C3" s="3" t="s">
        <v>143</v>
      </c>
      <c r="D3" s="3" t="s">
        <v>4</v>
      </c>
      <c r="E3" s="1" t="s">
        <v>5</v>
      </c>
    </row>
    <row r="4" spans="2:5" ht="7.2" customHeight="1">
      <c r="B4" s="39"/>
      <c r="C4" s="40"/>
      <c r="D4" s="40"/>
      <c r="E4" s="41"/>
    </row>
    <row r="5" spans="2:5" ht="15.6">
      <c r="B5" s="13">
        <v>1</v>
      </c>
      <c r="C5" s="15" t="s">
        <v>132</v>
      </c>
      <c r="D5" s="3" t="s">
        <v>133</v>
      </c>
      <c r="E5" s="1" t="s">
        <v>134</v>
      </c>
    </row>
    <row r="6" spans="2:5" ht="15.6">
      <c r="B6" s="13">
        <v>2</v>
      </c>
      <c r="C6" s="15" t="s">
        <v>138</v>
      </c>
      <c r="D6" s="19">
        <v>0.16724469112487</v>
      </c>
      <c r="E6" s="20">
        <v>0.73628534000331103</v>
      </c>
    </row>
    <row r="7" spans="2:5" ht="15.6">
      <c r="B7" s="13">
        <v>3</v>
      </c>
      <c r="C7" s="15" t="s">
        <v>139</v>
      </c>
      <c r="D7" s="19">
        <v>560777.34544943704</v>
      </c>
      <c r="E7" s="20">
        <v>446410.58293395297</v>
      </c>
    </row>
    <row r="8" spans="2:5" ht="15.6">
      <c r="B8" s="13">
        <v>4</v>
      </c>
      <c r="C8" s="15" t="s">
        <v>127</v>
      </c>
      <c r="D8" s="16">
        <v>2.4800615101360099E-14</v>
      </c>
      <c r="E8" s="17">
        <v>4.7503615090054699E-94</v>
      </c>
    </row>
    <row r="9" spans="2:5" ht="47.4" customHeight="1">
      <c r="B9" s="13">
        <v>5</v>
      </c>
      <c r="C9" s="15" t="s">
        <v>140</v>
      </c>
      <c r="D9" s="18" t="s">
        <v>136</v>
      </c>
      <c r="E9" s="18" t="s">
        <v>137</v>
      </c>
    </row>
    <row r="10" spans="2:5" ht="27.6">
      <c r="B10" s="13">
        <v>6</v>
      </c>
      <c r="C10" s="15" t="s">
        <v>141</v>
      </c>
      <c r="D10" s="18" t="s">
        <v>135</v>
      </c>
      <c r="E10" s="18" t="s">
        <v>135</v>
      </c>
    </row>
  </sheetData>
  <mergeCells count="1">
    <mergeCell ref="B4:E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34142-839E-467C-A6D6-0DFBD5BA09F6}">
  <dimension ref="A1:T321"/>
  <sheetViews>
    <sheetView topLeftCell="H1" workbookViewId="0">
      <selection activeCell="G14" sqref="G14"/>
    </sheetView>
  </sheetViews>
  <sheetFormatPr defaultColWidth="8.8984375" defaultRowHeight="13.8"/>
  <cols>
    <col min="1" max="1" width="9.19921875" bestFit="1" customWidth="1"/>
    <col min="2" max="2" width="7.5" bestFit="1" customWidth="1"/>
    <col min="3" max="3" width="6.5" bestFit="1" customWidth="1"/>
    <col min="4" max="4" width="10.296875" bestFit="1" customWidth="1"/>
    <col min="5" max="6" width="13.796875" bestFit="1" customWidth="1"/>
    <col min="7" max="7" width="16.19921875" bestFit="1" customWidth="1"/>
    <col min="8" max="8" width="6.8984375" bestFit="1" customWidth="1"/>
    <col min="9" max="9" width="16.3984375" bestFit="1" customWidth="1"/>
    <col min="10" max="10" width="10.59765625" bestFit="1" customWidth="1"/>
    <col min="11" max="11" width="16.3984375" bestFit="1" customWidth="1"/>
    <col min="12" max="12" width="12.296875" bestFit="1" customWidth="1"/>
    <col min="13" max="13" width="10.296875" bestFit="1" customWidth="1"/>
    <col min="14" max="14" width="23.69921875" bestFit="1" customWidth="1"/>
    <col min="15" max="15" width="22.796875" bestFit="1" customWidth="1"/>
    <col min="16" max="16" width="11.5" bestFit="1" customWidth="1"/>
    <col min="17" max="17" width="15.296875" bestFit="1" customWidth="1"/>
    <col min="18" max="18" width="11.796875" bestFit="1" customWidth="1"/>
    <col min="19" max="19" width="13.09765625" bestFit="1" customWidth="1"/>
    <col min="20" max="20" width="12.296875" bestFit="1" customWidth="1"/>
  </cols>
  <sheetData>
    <row r="1" spans="1:20">
      <c r="A1" s="2" t="s">
        <v>0</v>
      </c>
      <c r="B1" s="2" t="s">
        <v>1</v>
      </c>
      <c r="C1" s="2" t="s">
        <v>2</v>
      </c>
      <c r="D1" s="2" t="s">
        <v>3</v>
      </c>
      <c r="E1" s="2" t="s">
        <v>12</v>
      </c>
      <c r="F1" s="2" t="s">
        <v>13</v>
      </c>
      <c r="G1" s="2" t="s">
        <v>4</v>
      </c>
      <c r="H1" s="2" t="s">
        <v>5</v>
      </c>
      <c r="I1" s="2" t="s">
        <v>6</v>
      </c>
      <c r="J1" s="2" t="s">
        <v>7</v>
      </c>
      <c r="K1" s="6" t="s">
        <v>107</v>
      </c>
      <c r="L1" s="6" t="s">
        <v>105</v>
      </c>
      <c r="M1" s="6" t="s">
        <v>106</v>
      </c>
      <c r="N1" s="2" t="s">
        <v>8</v>
      </c>
      <c r="O1" s="2" t="s">
        <v>9</v>
      </c>
      <c r="P1" s="2" t="s">
        <v>10</v>
      </c>
      <c r="Q1" s="2" t="s">
        <v>11</v>
      </c>
      <c r="R1" s="6" t="s">
        <v>102</v>
      </c>
      <c r="S1" s="6" t="s">
        <v>103</v>
      </c>
      <c r="T1" s="6" t="s">
        <v>104</v>
      </c>
    </row>
    <row r="2" spans="1:20">
      <c r="A2" s="3" t="s">
        <v>14</v>
      </c>
      <c r="B2" s="4">
        <v>45658</v>
      </c>
      <c r="C2" s="3" t="s">
        <v>15</v>
      </c>
      <c r="D2" s="3" t="s">
        <v>16</v>
      </c>
      <c r="E2" s="3">
        <v>658832.62</v>
      </c>
      <c r="F2" s="3">
        <v>84349.93</v>
      </c>
      <c r="G2" s="3">
        <v>70389.11</v>
      </c>
      <c r="H2" s="3">
        <v>8302</v>
      </c>
      <c r="I2" s="3">
        <v>4.2000000000000003E-2</v>
      </c>
      <c r="J2" s="3">
        <v>17</v>
      </c>
      <c r="K2" s="3">
        <f>IF($D2="High Street",1,0)</f>
        <v>0</v>
      </c>
      <c r="L2" s="3">
        <f>IF($D2="Airport",1,0)</f>
        <v>0</v>
      </c>
      <c r="M2" s="3">
        <f>IF($D2="Mall",1,0)</f>
        <v>0</v>
      </c>
      <c r="N2" s="3">
        <v>75</v>
      </c>
      <c r="O2" s="3">
        <v>5.28</v>
      </c>
      <c r="P2" s="3">
        <v>1</v>
      </c>
      <c r="Q2" s="3">
        <v>3.1</v>
      </c>
      <c r="R2" s="3">
        <f>IF($C2="East",1,0)</f>
        <v>1</v>
      </c>
      <c r="S2" s="3">
        <f>IF($C2="South",1,0)</f>
        <v>0</v>
      </c>
      <c r="T2" s="3">
        <f>IF($C2="West",1,0)</f>
        <v>0</v>
      </c>
    </row>
    <row r="3" spans="1:20">
      <c r="A3" s="3" t="s">
        <v>14</v>
      </c>
      <c r="B3" s="4">
        <v>45689</v>
      </c>
      <c r="C3" s="3" t="s">
        <v>15</v>
      </c>
      <c r="D3" s="3" t="s">
        <v>16</v>
      </c>
      <c r="E3" s="3">
        <v>634436</v>
      </c>
      <c r="F3" s="3">
        <v>106130.54</v>
      </c>
      <c r="G3" s="3">
        <v>43827.89</v>
      </c>
      <c r="H3" s="3">
        <v>8487</v>
      </c>
      <c r="I3" s="3">
        <v>0.16800000000000001</v>
      </c>
      <c r="J3" s="3">
        <v>23</v>
      </c>
      <c r="K3" s="3">
        <f t="shared" ref="K3:K66" si="0">IF($D3="High Street",1,0)</f>
        <v>0</v>
      </c>
      <c r="L3" s="3">
        <f t="shared" ref="L3:L66" si="1">IF($D3="Airport",1,0)</f>
        <v>0</v>
      </c>
      <c r="M3" s="3">
        <f t="shared" ref="M3:M66" si="2">IF($D3="Mall",1,0)</f>
        <v>0</v>
      </c>
      <c r="N3" s="3">
        <v>84.4</v>
      </c>
      <c r="O3" s="3">
        <v>4.3099999999999996</v>
      </c>
      <c r="P3" s="3">
        <v>0</v>
      </c>
      <c r="Q3" s="3">
        <v>2.8</v>
      </c>
      <c r="R3" s="3">
        <f t="shared" ref="R3:R66" si="3">IF($C3="East",1,0)</f>
        <v>1</v>
      </c>
      <c r="S3" s="3">
        <f t="shared" ref="S3:S66" si="4">IF($C3="South",1,0)</f>
        <v>0</v>
      </c>
      <c r="T3" s="3">
        <f t="shared" ref="T3:T66" si="5">IF($C3="West",1,0)</f>
        <v>0</v>
      </c>
    </row>
    <row r="4" spans="1:20">
      <c r="A4" s="3" t="s">
        <v>14</v>
      </c>
      <c r="B4" s="4">
        <v>45717</v>
      </c>
      <c r="C4" s="3" t="s">
        <v>15</v>
      </c>
      <c r="D4" s="3" t="s">
        <v>16</v>
      </c>
      <c r="E4" s="3">
        <v>678722.06</v>
      </c>
      <c r="F4" s="3">
        <v>101883.86</v>
      </c>
      <c r="G4" s="3">
        <v>59921.75</v>
      </c>
      <c r="H4" s="3">
        <v>9113</v>
      </c>
      <c r="I4" s="3">
        <v>0.13300000000000001</v>
      </c>
      <c r="J4" s="3">
        <v>20</v>
      </c>
      <c r="K4" s="3">
        <f t="shared" si="0"/>
        <v>0</v>
      </c>
      <c r="L4" s="3">
        <f t="shared" si="1"/>
        <v>0</v>
      </c>
      <c r="M4" s="3">
        <f t="shared" si="2"/>
        <v>0</v>
      </c>
      <c r="N4" s="3">
        <v>88</v>
      </c>
      <c r="O4" s="3">
        <v>12</v>
      </c>
      <c r="P4" s="3">
        <v>0</v>
      </c>
      <c r="Q4" s="3">
        <v>3.2</v>
      </c>
      <c r="R4" s="3">
        <f t="shared" si="3"/>
        <v>1</v>
      </c>
      <c r="S4" s="3">
        <f t="shared" si="4"/>
        <v>0</v>
      </c>
      <c r="T4" s="3">
        <f t="shared" si="5"/>
        <v>0</v>
      </c>
    </row>
    <row r="5" spans="1:20">
      <c r="A5" s="3" t="s">
        <v>14</v>
      </c>
      <c r="B5" s="4">
        <v>45748</v>
      </c>
      <c r="C5" s="3" t="s">
        <v>15</v>
      </c>
      <c r="D5" s="3" t="s">
        <v>16</v>
      </c>
      <c r="E5" s="3">
        <v>658920.30000000005</v>
      </c>
      <c r="F5" s="3">
        <v>97910.37</v>
      </c>
      <c r="G5" s="3">
        <v>56856.63</v>
      </c>
      <c r="H5" s="3">
        <v>9431</v>
      </c>
      <c r="I5" s="3">
        <v>0.14199999999999999</v>
      </c>
      <c r="J5" s="3">
        <v>23</v>
      </c>
      <c r="K5" s="3">
        <f t="shared" si="0"/>
        <v>0</v>
      </c>
      <c r="L5" s="3">
        <f t="shared" si="1"/>
        <v>0</v>
      </c>
      <c r="M5" s="3">
        <f t="shared" si="2"/>
        <v>0</v>
      </c>
      <c r="N5" s="3">
        <v>86.9</v>
      </c>
      <c r="O5" s="3">
        <v>4.97</v>
      </c>
      <c r="P5" s="3">
        <v>0</v>
      </c>
      <c r="Q5" s="3">
        <v>3.4</v>
      </c>
      <c r="R5" s="3">
        <f t="shared" si="3"/>
        <v>1</v>
      </c>
      <c r="S5" s="3">
        <f t="shared" si="4"/>
        <v>0</v>
      </c>
      <c r="T5" s="3">
        <f t="shared" si="5"/>
        <v>0</v>
      </c>
    </row>
    <row r="6" spans="1:20">
      <c r="A6" s="3" t="s">
        <v>17</v>
      </c>
      <c r="B6" s="4">
        <v>45658</v>
      </c>
      <c r="C6" s="3" t="s">
        <v>15</v>
      </c>
      <c r="D6" s="3" t="s">
        <v>18</v>
      </c>
      <c r="E6" s="3">
        <v>741341.44</v>
      </c>
      <c r="F6" s="3">
        <v>119208.17</v>
      </c>
      <c r="G6" s="3">
        <v>48412.639999999999</v>
      </c>
      <c r="H6" s="3">
        <v>9545</v>
      </c>
      <c r="I6" s="3">
        <v>0.23100000000000001</v>
      </c>
      <c r="J6" s="3">
        <v>21</v>
      </c>
      <c r="K6" s="3">
        <f t="shared" si="0"/>
        <v>1</v>
      </c>
      <c r="L6" s="3">
        <f t="shared" si="1"/>
        <v>0</v>
      </c>
      <c r="M6" s="3">
        <f t="shared" si="2"/>
        <v>0</v>
      </c>
      <c r="N6" s="3">
        <v>97.6</v>
      </c>
      <c r="O6" s="3">
        <v>6.94</v>
      </c>
      <c r="P6" s="3">
        <v>1</v>
      </c>
      <c r="Q6" s="3">
        <v>4.2</v>
      </c>
      <c r="R6" s="3">
        <f t="shared" si="3"/>
        <v>1</v>
      </c>
      <c r="S6" s="3">
        <f t="shared" si="4"/>
        <v>0</v>
      </c>
      <c r="T6" s="3">
        <f t="shared" si="5"/>
        <v>0</v>
      </c>
    </row>
    <row r="7" spans="1:20">
      <c r="A7" s="3" t="s">
        <v>17</v>
      </c>
      <c r="B7" s="4">
        <v>45689</v>
      </c>
      <c r="C7" s="3" t="s">
        <v>15</v>
      </c>
      <c r="D7" s="3" t="s">
        <v>18</v>
      </c>
      <c r="E7" s="3">
        <v>761835.34</v>
      </c>
      <c r="F7" s="3">
        <v>149602.23000000001</v>
      </c>
      <c r="G7" s="3">
        <v>64811.21</v>
      </c>
      <c r="H7" s="3">
        <v>9792</v>
      </c>
      <c r="I7" s="3">
        <v>0.112</v>
      </c>
      <c r="J7" s="3">
        <v>20</v>
      </c>
      <c r="K7" s="3">
        <f t="shared" si="0"/>
        <v>1</v>
      </c>
      <c r="L7" s="3">
        <f t="shared" si="1"/>
        <v>0</v>
      </c>
      <c r="M7" s="3">
        <f t="shared" si="2"/>
        <v>0</v>
      </c>
      <c r="N7" s="3">
        <v>84.2</v>
      </c>
      <c r="O7" s="3">
        <v>2.88</v>
      </c>
      <c r="P7" s="3">
        <v>0</v>
      </c>
      <c r="Q7" s="3">
        <v>4.2</v>
      </c>
      <c r="R7" s="3">
        <f t="shared" si="3"/>
        <v>1</v>
      </c>
      <c r="S7" s="3">
        <f t="shared" si="4"/>
        <v>0</v>
      </c>
      <c r="T7" s="3">
        <f t="shared" si="5"/>
        <v>0</v>
      </c>
    </row>
    <row r="8" spans="1:20">
      <c r="A8" s="3" t="s">
        <v>17</v>
      </c>
      <c r="B8" s="4">
        <v>45717</v>
      </c>
      <c r="C8" s="3" t="s">
        <v>15</v>
      </c>
      <c r="D8" s="3" t="s">
        <v>18</v>
      </c>
      <c r="E8" s="3">
        <v>806615.54</v>
      </c>
      <c r="F8" s="3">
        <v>131364.62</v>
      </c>
      <c r="G8" s="3">
        <v>46213.45</v>
      </c>
      <c r="H8" s="3">
        <v>10616</v>
      </c>
      <c r="I8" s="3">
        <v>0.122</v>
      </c>
      <c r="J8" s="3">
        <v>22</v>
      </c>
      <c r="K8" s="3">
        <f t="shared" si="0"/>
        <v>1</v>
      </c>
      <c r="L8" s="3">
        <f t="shared" si="1"/>
        <v>0</v>
      </c>
      <c r="M8" s="3">
        <f t="shared" si="2"/>
        <v>0</v>
      </c>
      <c r="N8" s="3">
        <v>85.2</v>
      </c>
      <c r="O8" s="3">
        <v>0.2</v>
      </c>
      <c r="P8" s="3">
        <v>1</v>
      </c>
      <c r="Q8" s="3">
        <v>4.0999999999999996</v>
      </c>
      <c r="R8" s="3">
        <f t="shared" si="3"/>
        <v>1</v>
      </c>
      <c r="S8" s="3">
        <f t="shared" si="4"/>
        <v>0</v>
      </c>
      <c r="T8" s="3">
        <f t="shared" si="5"/>
        <v>0</v>
      </c>
    </row>
    <row r="9" spans="1:20">
      <c r="A9" s="3" t="s">
        <v>17</v>
      </c>
      <c r="B9" s="4">
        <v>45748</v>
      </c>
      <c r="C9" s="3" t="s">
        <v>15</v>
      </c>
      <c r="D9" s="3" t="s">
        <v>18</v>
      </c>
      <c r="E9" s="3">
        <v>850164.26</v>
      </c>
      <c r="F9" s="3">
        <v>149262.75</v>
      </c>
      <c r="G9" s="3">
        <v>68148.52</v>
      </c>
      <c r="H9" s="3">
        <v>8567</v>
      </c>
      <c r="I9" s="3">
        <v>0.127</v>
      </c>
      <c r="J9" s="3">
        <v>23</v>
      </c>
      <c r="K9" s="3">
        <f t="shared" si="0"/>
        <v>1</v>
      </c>
      <c r="L9" s="3">
        <f t="shared" si="1"/>
        <v>0</v>
      </c>
      <c r="M9" s="3">
        <f t="shared" si="2"/>
        <v>0</v>
      </c>
      <c r="N9" s="3">
        <v>95.6</v>
      </c>
      <c r="O9" s="3">
        <v>0.8</v>
      </c>
      <c r="P9" s="3">
        <v>0</v>
      </c>
      <c r="Q9" s="3">
        <v>3.9</v>
      </c>
      <c r="R9" s="3">
        <f t="shared" si="3"/>
        <v>1</v>
      </c>
      <c r="S9" s="3">
        <f t="shared" si="4"/>
        <v>0</v>
      </c>
      <c r="T9" s="3">
        <f t="shared" si="5"/>
        <v>0</v>
      </c>
    </row>
    <row r="10" spans="1:20">
      <c r="A10" s="3" t="s">
        <v>19</v>
      </c>
      <c r="B10" s="4">
        <v>45658</v>
      </c>
      <c r="C10" s="3" t="s">
        <v>20</v>
      </c>
      <c r="D10" s="3" t="s">
        <v>21</v>
      </c>
      <c r="E10" s="3">
        <v>930581.7</v>
      </c>
      <c r="F10" s="3">
        <v>136207.98000000001</v>
      </c>
      <c r="G10" s="3">
        <v>71838.86</v>
      </c>
      <c r="H10" s="3">
        <v>10979</v>
      </c>
      <c r="I10" s="3">
        <v>0.215</v>
      </c>
      <c r="J10" s="3">
        <v>26</v>
      </c>
      <c r="K10" s="3">
        <f t="shared" si="0"/>
        <v>0</v>
      </c>
      <c r="L10" s="3">
        <f t="shared" si="1"/>
        <v>1</v>
      </c>
      <c r="M10" s="3">
        <f t="shared" si="2"/>
        <v>0</v>
      </c>
      <c r="N10" s="3">
        <v>88.6</v>
      </c>
      <c r="O10" s="3">
        <v>7.7</v>
      </c>
      <c r="P10" s="3">
        <v>1</v>
      </c>
      <c r="Q10" s="3">
        <v>3.8</v>
      </c>
      <c r="R10" s="3">
        <f t="shared" si="3"/>
        <v>0</v>
      </c>
      <c r="S10" s="3">
        <f t="shared" si="4"/>
        <v>0</v>
      </c>
      <c r="T10" s="3">
        <f t="shared" si="5"/>
        <v>0</v>
      </c>
    </row>
    <row r="11" spans="1:20">
      <c r="A11" s="3" t="s">
        <v>19</v>
      </c>
      <c r="B11" s="4">
        <v>45689</v>
      </c>
      <c r="C11" s="3" t="s">
        <v>20</v>
      </c>
      <c r="D11" s="3" t="s">
        <v>21</v>
      </c>
      <c r="E11" s="3">
        <v>779010.94</v>
      </c>
      <c r="F11" s="3">
        <v>106328.09</v>
      </c>
      <c r="G11" s="3">
        <v>68133.440000000002</v>
      </c>
      <c r="H11" s="3">
        <v>9459</v>
      </c>
      <c r="I11" s="3">
        <v>0.22</v>
      </c>
      <c r="J11" s="3">
        <v>21</v>
      </c>
      <c r="K11" s="3">
        <f t="shared" si="0"/>
        <v>0</v>
      </c>
      <c r="L11" s="3">
        <f t="shared" si="1"/>
        <v>1</v>
      </c>
      <c r="M11" s="3">
        <f t="shared" si="2"/>
        <v>0</v>
      </c>
      <c r="N11" s="3">
        <v>85</v>
      </c>
      <c r="O11" s="3">
        <v>1.91</v>
      </c>
      <c r="P11" s="3">
        <v>0</v>
      </c>
      <c r="Q11" s="3">
        <v>4.2</v>
      </c>
      <c r="R11" s="3">
        <f t="shared" si="3"/>
        <v>0</v>
      </c>
      <c r="S11" s="3">
        <f t="shared" si="4"/>
        <v>0</v>
      </c>
      <c r="T11" s="3">
        <f t="shared" si="5"/>
        <v>0</v>
      </c>
    </row>
    <row r="12" spans="1:20">
      <c r="A12" s="3" t="s">
        <v>19</v>
      </c>
      <c r="B12" s="4">
        <v>45717</v>
      </c>
      <c r="C12" s="3" t="s">
        <v>20</v>
      </c>
      <c r="D12" s="3" t="s">
        <v>21</v>
      </c>
      <c r="E12" s="3">
        <v>723060.76</v>
      </c>
      <c r="F12" s="3">
        <v>123131.24</v>
      </c>
      <c r="G12" s="3">
        <v>34285.21</v>
      </c>
      <c r="H12" s="3">
        <v>9172</v>
      </c>
      <c r="I12" s="3">
        <v>0.21299999999999999</v>
      </c>
      <c r="J12" s="3">
        <v>22</v>
      </c>
      <c r="K12" s="3">
        <f t="shared" si="0"/>
        <v>0</v>
      </c>
      <c r="L12" s="3">
        <f t="shared" si="1"/>
        <v>1</v>
      </c>
      <c r="M12" s="3">
        <f t="shared" si="2"/>
        <v>0</v>
      </c>
      <c r="N12" s="3">
        <v>88.3</v>
      </c>
      <c r="O12" s="3">
        <v>10.46</v>
      </c>
      <c r="P12" s="3">
        <v>1</v>
      </c>
      <c r="Q12" s="3">
        <v>3.8</v>
      </c>
      <c r="R12" s="3">
        <f t="shared" si="3"/>
        <v>0</v>
      </c>
      <c r="S12" s="3">
        <f t="shared" si="4"/>
        <v>0</v>
      </c>
      <c r="T12" s="3">
        <f t="shared" si="5"/>
        <v>0</v>
      </c>
    </row>
    <row r="13" spans="1:20">
      <c r="A13" s="3" t="s">
        <v>19</v>
      </c>
      <c r="B13" s="4">
        <v>45748</v>
      </c>
      <c r="C13" s="3" t="s">
        <v>20</v>
      </c>
      <c r="D13" s="3" t="s">
        <v>21</v>
      </c>
      <c r="E13" s="3">
        <v>910791.94</v>
      </c>
      <c r="F13" s="3">
        <v>158891.28</v>
      </c>
      <c r="G13" s="3">
        <v>67979.88</v>
      </c>
      <c r="H13" s="3">
        <v>11230</v>
      </c>
      <c r="I13" s="3">
        <v>2E-3</v>
      </c>
      <c r="J13" s="3">
        <v>28</v>
      </c>
      <c r="K13" s="3">
        <f t="shared" si="0"/>
        <v>0</v>
      </c>
      <c r="L13" s="3">
        <f t="shared" si="1"/>
        <v>1</v>
      </c>
      <c r="M13" s="3">
        <f t="shared" si="2"/>
        <v>0</v>
      </c>
      <c r="N13" s="3">
        <v>85.3</v>
      </c>
      <c r="O13" s="3">
        <v>7.16</v>
      </c>
      <c r="P13" s="3">
        <v>0</v>
      </c>
      <c r="Q13" s="3">
        <v>3.8</v>
      </c>
      <c r="R13" s="3">
        <f t="shared" si="3"/>
        <v>0</v>
      </c>
      <c r="S13" s="3">
        <f t="shared" si="4"/>
        <v>0</v>
      </c>
      <c r="T13" s="3">
        <f t="shared" si="5"/>
        <v>0</v>
      </c>
    </row>
    <row r="14" spans="1:20">
      <c r="A14" s="3" t="s">
        <v>22</v>
      </c>
      <c r="B14" s="4">
        <v>45658</v>
      </c>
      <c r="C14" s="3" t="s">
        <v>15</v>
      </c>
      <c r="D14" s="3" t="s">
        <v>16</v>
      </c>
      <c r="E14" s="3">
        <v>922168.6</v>
      </c>
      <c r="F14" s="3">
        <v>107494.53</v>
      </c>
      <c r="G14" s="3">
        <v>71828.259999999995</v>
      </c>
      <c r="H14" s="3">
        <v>12775</v>
      </c>
      <c r="I14" s="3">
        <v>0.11600000000000001</v>
      </c>
      <c r="J14" s="3">
        <v>30</v>
      </c>
      <c r="K14" s="3">
        <f t="shared" si="0"/>
        <v>0</v>
      </c>
      <c r="L14" s="3">
        <f t="shared" si="1"/>
        <v>0</v>
      </c>
      <c r="M14" s="3">
        <f t="shared" si="2"/>
        <v>0</v>
      </c>
      <c r="N14" s="3">
        <v>81.7</v>
      </c>
      <c r="O14" s="3">
        <v>4.24</v>
      </c>
      <c r="P14" s="3">
        <v>1</v>
      </c>
      <c r="Q14" s="3">
        <v>4.2</v>
      </c>
      <c r="R14" s="3">
        <f t="shared" si="3"/>
        <v>1</v>
      </c>
      <c r="S14" s="3">
        <f t="shared" si="4"/>
        <v>0</v>
      </c>
      <c r="T14" s="3">
        <f t="shared" si="5"/>
        <v>0</v>
      </c>
    </row>
    <row r="15" spans="1:20">
      <c r="A15" s="3" t="s">
        <v>22</v>
      </c>
      <c r="B15" s="4">
        <v>45689</v>
      </c>
      <c r="C15" s="3" t="s">
        <v>15</v>
      </c>
      <c r="D15" s="3" t="s">
        <v>16</v>
      </c>
      <c r="E15" s="3">
        <v>726606.28</v>
      </c>
      <c r="F15" s="3">
        <v>122729.29</v>
      </c>
      <c r="G15" s="3">
        <v>55716.82</v>
      </c>
      <c r="H15" s="3">
        <v>10054</v>
      </c>
      <c r="I15" s="3">
        <v>0.14599999999999999</v>
      </c>
      <c r="J15" s="3">
        <v>24</v>
      </c>
      <c r="K15" s="3">
        <f t="shared" si="0"/>
        <v>0</v>
      </c>
      <c r="L15" s="3">
        <f t="shared" si="1"/>
        <v>0</v>
      </c>
      <c r="M15" s="3">
        <f t="shared" si="2"/>
        <v>0</v>
      </c>
      <c r="N15" s="3">
        <v>84.9</v>
      </c>
      <c r="O15" s="3">
        <v>1.06</v>
      </c>
      <c r="P15" s="3">
        <v>0</v>
      </c>
      <c r="Q15" s="3">
        <v>4.3</v>
      </c>
      <c r="R15" s="3">
        <f t="shared" si="3"/>
        <v>1</v>
      </c>
      <c r="S15" s="3">
        <f t="shared" si="4"/>
        <v>0</v>
      </c>
      <c r="T15" s="3">
        <f t="shared" si="5"/>
        <v>0</v>
      </c>
    </row>
    <row r="16" spans="1:20">
      <c r="A16" s="3" t="s">
        <v>22</v>
      </c>
      <c r="B16" s="4">
        <v>45717</v>
      </c>
      <c r="C16" s="3" t="s">
        <v>15</v>
      </c>
      <c r="D16" s="3" t="s">
        <v>16</v>
      </c>
      <c r="E16" s="3">
        <v>746501.09</v>
      </c>
      <c r="F16" s="3">
        <v>136816.72</v>
      </c>
      <c r="G16" s="3">
        <v>59909.51</v>
      </c>
      <c r="H16" s="3">
        <v>8895</v>
      </c>
      <c r="I16" s="3">
        <v>0.22800000000000001</v>
      </c>
      <c r="J16" s="3">
        <v>23</v>
      </c>
      <c r="K16" s="3">
        <f t="shared" si="0"/>
        <v>0</v>
      </c>
      <c r="L16" s="3">
        <f t="shared" si="1"/>
        <v>0</v>
      </c>
      <c r="M16" s="3">
        <f t="shared" si="2"/>
        <v>0</v>
      </c>
      <c r="N16" s="3">
        <v>88.8</v>
      </c>
      <c r="O16" s="3">
        <v>0.27</v>
      </c>
      <c r="P16" s="3">
        <v>0</v>
      </c>
      <c r="Q16" s="3">
        <v>4.3</v>
      </c>
      <c r="R16" s="3">
        <f t="shared" si="3"/>
        <v>1</v>
      </c>
      <c r="S16" s="3">
        <f t="shared" si="4"/>
        <v>0</v>
      </c>
      <c r="T16" s="3">
        <f t="shared" si="5"/>
        <v>0</v>
      </c>
    </row>
    <row r="17" spans="1:20">
      <c r="A17" s="3" t="s">
        <v>22</v>
      </c>
      <c r="B17" s="4">
        <v>45748</v>
      </c>
      <c r="C17" s="3" t="s">
        <v>15</v>
      </c>
      <c r="D17" s="3" t="s">
        <v>16</v>
      </c>
      <c r="E17" s="3">
        <v>834017.02</v>
      </c>
      <c r="F17" s="3">
        <v>114745.03</v>
      </c>
      <c r="G17" s="3">
        <v>75305.710000000006</v>
      </c>
      <c r="H17" s="3">
        <v>10940</v>
      </c>
      <c r="I17" s="3">
        <v>6.0000000000000001E-3</v>
      </c>
      <c r="J17" s="3">
        <v>26</v>
      </c>
      <c r="K17" s="3">
        <f t="shared" si="0"/>
        <v>0</v>
      </c>
      <c r="L17" s="3">
        <f t="shared" si="1"/>
        <v>0</v>
      </c>
      <c r="M17" s="3">
        <f t="shared" si="2"/>
        <v>0</v>
      </c>
      <c r="N17" s="3">
        <v>76.5</v>
      </c>
      <c r="O17" s="3">
        <v>1.32</v>
      </c>
      <c r="P17" s="3">
        <v>0</v>
      </c>
      <c r="Q17" s="3">
        <v>4.5</v>
      </c>
      <c r="R17" s="3">
        <f t="shared" si="3"/>
        <v>1</v>
      </c>
      <c r="S17" s="3">
        <f t="shared" si="4"/>
        <v>0</v>
      </c>
      <c r="T17" s="3">
        <f t="shared" si="5"/>
        <v>0</v>
      </c>
    </row>
    <row r="18" spans="1:20">
      <c r="A18" s="3" t="s">
        <v>23</v>
      </c>
      <c r="B18" s="4">
        <v>45658</v>
      </c>
      <c r="C18" s="3" t="s">
        <v>24</v>
      </c>
      <c r="D18" s="3" t="s">
        <v>16</v>
      </c>
      <c r="E18" s="3">
        <v>666152.52</v>
      </c>
      <c r="F18" s="3">
        <v>107490.58</v>
      </c>
      <c r="G18" s="3">
        <v>48804.22</v>
      </c>
      <c r="H18" s="3">
        <v>7057</v>
      </c>
      <c r="I18" s="3">
        <v>5.0000000000000001E-3</v>
      </c>
      <c r="J18" s="3">
        <v>15</v>
      </c>
      <c r="K18" s="3">
        <f t="shared" si="0"/>
        <v>0</v>
      </c>
      <c r="L18" s="3">
        <f t="shared" si="1"/>
        <v>0</v>
      </c>
      <c r="M18" s="3">
        <f t="shared" si="2"/>
        <v>0</v>
      </c>
      <c r="N18" s="3">
        <v>87.7</v>
      </c>
      <c r="O18" s="3">
        <v>1.22</v>
      </c>
      <c r="P18" s="3">
        <v>0</v>
      </c>
      <c r="Q18" s="3">
        <v>3.7</v>
      </c>
      <c r="R18" s="3">
        <f t="shared" si="3"/>
        <v>0</v>
      </c>
      <c r="S18" s="3">
        <f t="shared" si="4"/>
        <v>1</v>
      </c>
      <c r="T18" s="3">
        <f t="shared" si="5"/>
        <v>0</v>
      </c>
    </row>
    <row r="19" spans="1:20">
      <c r="A19" s="3" t="s">
        <v>23</v>
      </c>
      <c r="B19" s="4">
        <v>45689</v>
      </c>
      <c r="C19" s="3" t="s">
        <v>24</v>
      </c>
      <c r="D19" s="3" t="s">
        <v>16</v>
      </c>
      <c r="E19" s="3">
        <v>573155.18999999994</v>
      </c>
      <c r="F19" s="3">
        <v>83680.75</v>
      </c>
      <c r="G19" s="3">
        <v>59117.9</v>
      </c>
      <c r="H19" s="3">
        <v>4263</v>
      </c>
      <c r="I19" s="3">
        <v>0.11899999999999999</v>
      </c>
      <c r="J19" s="3">
        <v>9</v>
      </c>
      <c r="K19" s="3">
        <f t="shared" si="0"/>
        <v>0</v>
      </c>
      <c r="L19" s="3">
        <f t="shared" si="1"/>
        <v>0</v>
      </c>
      <c r="M19" s="3">
        <f t="shared" si="2"/>
        <v>0</v>
      </c>
      <c r="N19" s="3">
        <v>87.6</v>
      </c>
      <c r="O19" s="3">
        <v>4.01</v>
      </c>
      <c r="P19" s="3">
        <v>0</v>
      </c>
      <c r="Q19" s="3">
        <v>3.6</v>
      </c>
      <c r="R19" s="3">
        <f t="shared" si="3"/>
        <v>0</v>
      </c>
      <c r="S19" s="3">
        <f t="shared" si="4"/>
        <v>1</v>
      </c>
      <c r="T19" s="3">
        <f t="shared" si="5"/>
        <v>0</v>
      </c>
    </row>
    <row r="20" spans="1:20">
      <c r="A20" s="3" t="s">
        <v>23</v>
      </c>
      <c r="B20" s="4">
        <v>45717</v>
      </c>
      <c r="C20" s="3" t="s">
        <v>24</v>
      </c>
      <c r="D20" s="3" t="s">
        <v>16</v>
      </c>
      <c r="E20" s="3">
        <v>666573.19999999995</v>
      </c>
      <c r="F20" s="3">
        <v>140641.01999999999</v>
      </c>
      <c r="G20" s="3">
        <v>78831.12</v>
      </c>
      <c r="H20" s="3">
        <v>5538</v>
      </c>
      <c r="I20" s="3">
        <v>0</v>
      </c>
      <c r="J20" s="3">
        <v>15</v>
      </c>
      <c r="K20" s="3">
        <f t="shared" si="0"/>
        <v>0</v>
      </c>
      <c r="L20" s="3">
        <f t="shared" si="1"/>
        <v>0</v>
      </c>
      <c r="M20" s="3">
        <f t="shared" si="2"/>
        <v>0</v>
      </c>
      <c r="N20" s="3">
        <v>94.1</v>
      </c>
      <c r="O20" s="3">
        <v>0.2</v>
      </c>
      <c r="P20" s="3">
        <v>0</v>
      </c>
      <c r="Q20" s="3">
        <v>3.9</v>
      </c>
      <c r="R20" s="3">
        <f t="shared" si="3"/>
        <v>0</v>
      </c>
      <c r="S20" s="3">
        <f t="shared" si="4"/>
        <v>1</v>
      </c>
      <c r="T20" s="3">
        <f t="shared" si="5"/>
        <v>0</v>
      </c>
    </row>
    <row r="21" spans="1:20">
      <c r="A21" s="3" t="s">
        <v>23</v>
      </c>
      <c r="B21" s="4">
        <v>45748</v>
      </c>
      <c r="C21" s="3" t="s">
        <v>24</v>
      </c>
      <c r="D21" s="3" t="s">
        <v>16</v>
      </c>
      <c r="E21" s="3">
        <v>591619.94999999995</v>
      </c>
      <c r="F21" s="3">
        <v>99521.35</v>
      </c>
      <c r="G21" s="3">
        <v>41441.93</v>
      </c>
      <c r="H21" s="3">
        <v>4865</v>
      </c>
      <c r="I21" s="3">
        <v>0.158</v>
      </c>
      <c r="J21" s="3">
        <v>16</v>
      </c>
      <c r="K21" s="3">
        <f t="shared" si="0"/>
        <v>0</v>
      </c>
      <c r="L21" s="3">
        <f t="shared" si="1"/>
        <v>0</v>
      </c>
      <c r="M21" s="3">
        <f t="shared" si="2"/>
        <v>0</v>
      </c>
      <c r="N21" s="3">
        <v>88.3</v>
      </c>
      <c r="O21" s="3">
        <v>0.5</v>
      </c>
      <c r="P21" s="3">
        <v>0</v>
      </c>
      <c r="Q21" s="3">
        <v>4</v>
      </c>
      <c r="R21" s="3">
        <f t="shared" si="3"/>
        <v>0</v>
      </c>
      <c r="S21" s="3">
        <f t="shared" si="4"/>
        <v>1</v>
      </c>
      <c r="T21" s="3">
        <f t="shared" si="5"/>
        <v>0</v>
      </c>
    </row>
    <row r="22" spans="1:20">
      <c r="A22" s="3" t="s">
        <v>25</v>
      </c>
      <c r="B22" s="4">
        <v>45658</v>
      </c>
      <c r="C22" s="3" t="s">
        <v>20</v>
      </c>
      <c r="D22" s="3" t="s">
        <v>16</v>
      </c>
      <c r="E22" s="3">
        <v>415721.82</v>
      </c>
      <c r="F22" s="3">
        <v>61179.15</v>
      </c>
      <c r="G22" s="3">
        <v>30356.28</v>
      </c>
      <c r="H22" s="3">
        <v>2822</v>
      </c>
      <c r="I22" s="3">
        <v>0.23100000000000001</v>
      </c>
      <c r="J22" s="3">
        <v>9</v>
      </c>
      <c r="K22" s="3">
        <f t="shared" si="0"/>
        <v>0</v>
      </c>
      <c r="L22" s="3">
        <f t="shared" si="1"/>
        <v>0</v>
      </c>
      <c r="M22" s="3">
        <f t="shared" si="2"/>
        <v>0</v>
      </c>
      <c r="N22" s="3">
        <v>84.8</v>
      </c>
      <c r="O22" s="3">
        <v>6.95</v>
      </c>
      <c r="P22" s="3">
        <v>0</v>
      </c>
      <c r="Q22" s="3">
        <v>5</v>
      </c>
      <c r="R22" s="3">
        <f t="shared" si="3"/>
        <v>0</v>
      </c>
      <c r="S22" s="3">
        <f t="shared" si="4"/>
        <v>0</v>
      </c>
      <c r="T22" s="3">
        <f t="shared" si="5"/>
        <v>0</v>
      </c>
    </row>
    <row r="23" spans="1:20">
      <c r="A23" s="3" t="s">
        <v>25</v>
      </c>
      <c r="B23" s="4">
        <v>45689</v>
      </c>
      <c r="C23" s="3" t="s">
        <v>20</v>
      </c>
      <c r="D23" s="3" t="s">
        <v>16</v>
      </c>
      <c r="E23" s="3">
        <v>491905.13</v>
      </c>
      <c r="F23" s="3">
        <v>79212.259999999995</v>
      </c>
      <c r="G23" s="3">
        <v>33518.879999999997</v>
      </c>
      <c r="H23" s="3">
        <v>2121</v>
      </c>
      <c r="I23" s="3">
        <v>0.17599999999999999</v>
      </c>
      <c r="J23" s="3">
        <v>8</v>
      </c>
      <c r="K23" s="3">
        <f t="shared" si="0"/>
        <v>0</v>
      </c>
      <c r="L23" s="3">
        <f t="shared" si="1"/>
        <v>0</v>
      </c>
      <c r="M23" s="3">
        <f t="shared" si="2"/>
        <v>0</v>
      </c>
      <c r="N23" s="3">
        <v>88.5</v>
      </c>
      <c r="O23" s="3">
        <v>0.2</v>
      </c>
      <c r="P23" s="3">
        <v>0</v>
      </c>
      <c r="Q23" s="3">
        <v>5</v>
      </c>
      <c r="R23" s="3">
        <f t="shared" si="3"/>
        <v>0</v>
      </c>
      <c r="S23" s="3">
        <f t="shared" si="4"/>
        <v>0</v>
      </c>
      <c r="T23" s="3">
        <f t="shared" si="5"/>
        <v>0</v>
      </c>
    </row>
    <row r="24" spans="1:20">
      <c r="A24" s="3" t="s">
        <v>25</v>
      </c>
      <c r="B24" s="4">
        <v>45717</v>
      </c>
      <c r="C24" s="3" t="s">
        <v>20</v>
      </c>
      <c r="D24" s="3" t="s">
        <v>16</v>
      </c>
      <c r="E24" s="3">
        <v>555929.4</v>
      </c>
      <c r="F24" s="3">
        <v>115201.76</v>
      </c>
      <c r="G24" s="3">
        <v>42267.37</v>
      </c>
      <c r="H24" s="3">
        <v>3364</v>
      </c>
      <c r="I24" s="3">
        <v>0.16</v>
      </c>
      <c r="J24" s="3">
        <v>13</v>
      </c>
      <c r="K24" s="3">
        <f t="shared" si="0"/>
        <v>0</v>
      </c>
      <c r="L24" s="3">
        <f t="shared" si="1"/>
        <v>0</v>
      </c>
      <c r="M24" s="3">
        <f t="shared" si="2"/>
        <v>0</v>
      </c>
      <c r="N24" s="3">
        <v>82</v>
      </c>
      <c r="O24" s="3">
        <v>1.61</v>
      </c>
      <c r="P24" s="3">
        <v>1</v>
      </c>
      <c r="Q24" s="3">
        <v>4.5999999999999996</v>
      </c>
      <c r="R24" s="3">
        <f t="shared" si="3"/>
        <v>0</v>
      </c>
      <c r="S24" s="3">
        <f t="shared" si="4"/>
        <v>0</v>
      </c>
      <c r="T24" s="3">
        <f t="shared" si="5"/>
        <v>0</v>
      </c>
    </row>
    <row r="25" spans="1:20">
      <c r="A25" s="3" t="s">
        <v>25</v>
      </c>
      <c r="B25" s="4">
        <v>45748</v>
      </c>
      <c r="C25" s="3" t="s">
        <v>20</v>
      </c>
      <c r="D25" s="3" t="s">
        <v>16</v>
      </c>
      <c r="E25" s="3">
        <v>565810.99</v>
      </c>
      <c r="F25" s="3">
        <v>77825.460000000006</v>
      </c>
      <c r="G25" s="3">
        <v>62060.43</v>
      </c>
      <c r="H25" s="3">
        <v>2613</v>
      </c>
      <c r="I25" s="3">
        <v>0.216</v>
      </c>
      <c r="J25" s="3">
        <v>12</v>
      </c>
      <c r="K25" s="3">
        <f t="shared" si="0"/>
        <v>0</v>
      </c>
      <c r="L25" s="3">
        <f t="shared" si="1"/>
        <v>0</v>
      </c>
      <c r="M25" s="3">
        <f t="shared" si="2"/>
        <v>0</v>
      </c>
      <c r="N25" s="3">
        <v>92.1</v>
      </c>
      <c r="O25" s="3">
        <v>1.55</v>
      </c>
      <c r="P25" s="3">
        <v>0</v>
      </c>
      <c r="Q25" s="3">
        <v>4.7</v>
      </c>
      <c r="R25" s="3">
        <f t="shared" si="3"/>
        <v>0</v>
      </c>
      <c r="S25" s="3">
        <f t="shared" si="4"/>
        <v>0</v>
      </c>
      <c r="T25" s="3">
        <f t="shared" si="5"/>
        <v>0</v>
      </c>
    </row>
    <row r="26" spans="1:20">
      <c r="A26" s="3" t="s">
        <v>26</v>
      </c>
      <c r="B26" s="4">
        <v>45658</v>
      </c>
      <c r="C26" s="3" t="s">
        <v>27</v>
      </c>
      <c r="D26" s="3" t="s">
        <v>28</v>
      </c>
      <c r="E26" s="3">
        <v>811771.14</v>
      </c>
      <c r="F26" s="3">
        <v>148756.24</v>
      </c>
      <c r="G26" s="3">
        <v>57696.69</v>
      </c>
      <c r="H26" s="3">
        <v>10218</v>
      </c>
      <c r="I26" s="3">
        <v>0.121</v>
      </c>
      <c r="J26" s="3">
        <v>25</v>
      </c>
      <c r="K26" s="3">
        <f t="shared" si="0"/>
        <v>0</v>
      </c>
      <c r="L26" s="3">
        <f t="shared" si="1"/>
        <v>0</v>
      </c>
      <c r="M26" s="3">
        <f t="shared" si="2"/>
        <v>1</v>
      </c>
      <c r="N26" s="3">
        <v>94.8</v>
      </c>
      <c r="O26" s="3">
        <v>2.99</v>
      </c>
      <c r="P26" s="3">
        <v>0</v>
      </c>
      <c r="Q26" s="3">
        <v>3.5</v>
      </c>
      <c r="R26" s="3">
        <f t="shared" si="3"/>
        <v>0</v>
      </c>
      <c r="S26" s="3">
        <f t="shared" si="4"/>
        <v>0</v>
      </c>
      <c r="T26" s="3">
        <f t="shared" si="5"/>
        <v>1</v>
      </c>
    </row>
    <row r="27" spans="1:20">
      <c r="A27" s="3" t="s">
        <v>26</v>
      </c>
      <c r="B27" s="4">
        <v>45689</v>
      </c>
      <c r="C27" s="3" t="s">
        <v>27</v>
      </c>
      <c r="D27" s="3" t="s">
        <v>28</v>
      </c>
      <c r="E27" s="3">
        <v>800451.94</v>
      </c>
      <c r="F27" s="3">
        <v>111572.29</v>
      </c>
      <c r="G27" s="3">
        <v>172415.52</v>
      </c>
      <c r="H27" s="3">
        <v>8927</v>
      </c>
      <c r="I27" s="3">
        <v>0.14000000000000001</v>
      </c>
      <c r="J27" s="3">
        <v>22</v>
      </c>
      <c r="K27" s="3">
        <f t="shared" si="0"/>
        <v>0</v>
      </c>
      <c r="L27" s="3">
        <f t="shared" si="1"/>
        <v>0</v>
      </c>
      <c r="M27" s="3">
        <f t="shared" si="2"/>
        <v>1</v>
      </c>
      <c r="N27" s="3">
        <v>86.2</v>
      </c>
      <c r="O27" s="3">
        <v>7.04</v>
      </c>
      <c r="P27" s="3">
        <v>0</v>
      </c>
      <c r="Q27" s="3">
        <v>3.9</v>
      </c>
      <c r="R27" s="3">
        <f t="shared" si="3"/>
        <v>0</v>
      </c>
      <c r="S27" s="3">
        <f t="shared" si="4"/>
        <v>0</v>
      </c>
      <c r="T27" s="3">
        <f t="shared" si="5"/>
        <v>1</v>
      </c>
    </row>
    <row r="28" spans="1:20">
      <c r="A28" s="3" t="s">
        <v>26</v>
      </c>
      <c r="B28" s="4">
        <v>45717</v>
      </c>
      <c r="C28" s="3" t="s">
        <v>27</v>
      </c>
      <c r="D28" s="3" t="s">
        <v>28</v>
      </c>
      <c r="E28" s="3">
        <v>783672.82</v>
      </c>
      <c r="F28" s="3">
        <v>112577.14</v>
      </c>
      <c r="G28" s="3">
        <v>55270.52</v>
      </c>
      <c r="H28" s="3">
        <v>9315</v>
      </c>
      <c r="I28" s="3">
        <v>0.16900000000000001</v>
      </c>
      <c r="J28" s="3">
        <v>23</v>
      </c>
      <c r="K28" s="3">
        <f t="shared" si="0"/>
        <v>0</v>
      </c>
      <c r="L28" s="3">
        <f t="shared" si="1"/>
        <v>0</v>
      </c>
      <c r="M28" s="3">
        <f t="shared" si="2"/>
        <v>1</v>
      </c>
      <c r="N28" s="3">
        <v>91.9</v>
      </c>
      <c r="O28" s="3">
        <v>4.9400000000000004</v>
      </c>
      <c r="P28" s="3">
        <v>0</v>
      </c>
      <c r="Q28" s="3">
        <v>4</v>
      </c>
      <c r="R28" s="3">
        <f t="shared" si="3"/>
        <v>0</v>
      </c>
      <c r="S28" s="3">
        <f t="shared" si="4"/>
        <v>0</v>
      </c>
      <c r="T28" s="3">
        <f t="shared" si="5"/>
        <v>1</v>
      </c>
    </row>
    <row r="29" spans="1:20">
      <c r="A29" s="3" t="s">
        <v>26</v>
      </c>
      <c r="B29" s="4">
        <v>45748</v>
      </c>
      <c r="C29" s="3" t="s">
        <v>27</v>
      </c>
      <c r="D29" s="3" t="s">
        <v>28</v>
      </c>
      <c r="E29" s="3">
        <v>701641.97</v>
      </c>
      <c r="F29" s="3">
        <v>106111.86</v>
      </c>
      <c r="G29" s="3">
        <v>52715.1</v>
      </c>
      <c r="H29" s="3">
        <v>7223</v>
      </c>
      <c r="I29" s="3">
        <v>0.122</v>
      </c>
      <c r="J29" s="3">
        <v>16</v>
      </c>
      <c r="K29" s="3">
        <f t="shared" si="0"/>
        <v>0</v>
      </c>
      <c r="L29" s="3">
        <f t="shared" si="1"/>
        <v>0</v>
      </c>
      <c r="M29" s="3">
        <f t="shared" si="2"/>
        <v>1</v>
      </c>
      <c r="N29" s="3">
        <v>84.2</v>
      </c>
      <c r="O29" s="3">
        <v>16.149999999999999</v>
      </c>
      <c r="P29" s="3">
        <v>0</v>
      </c>
      <c r="Q29" s="3">
        <v>3.7</v>
      </c>
      <c r="R29" s="3">
        <f t="shared" si="3"/>
        <v>0</v>
      </c>
      <c r="S29" s="3">
        <f t="shared" si="4"/>
        <v>0</v>
      </c>
      <c r="T29" s="3">
        <f t="shared" si="5"/>
        <v>1</v>
      </c>
    </row>
    <row r="30" spans="1:20">
      <c r="A30" s="3" t="s">
        <v>29</v>
      </c>
      <c r="B30" s="4">
        <v>45658</v>
      </c>
      <c r="C30" s="3" t="s">
        <v>15</v>
      </c>
      <c r="D30" s="3" t="s">
        <v>16</v>
      </c>
      <c r="E30" s="3">
        <v>511844.41</v>
      </c>
      <c r="F30" s="3">
        <v>72774.44</v>
      </c>
      <c r="G30" s="3">
        <v>68600.62</v>
      </c>
      <c r="H30" s="3">
        <v>3988</v>
      </c>
      <c r="I30" s="3">
        <v>0.124</v>
      </c>
      <c r="J30" s="3">
        <v>11</v>
      </c>
      <c r="K30" s="3">
        <f t="shared" si="0"/>
        <v>0</v>
      </c>
      <c r="L30" s="3">
        <f t="shared" si="1"/>
        <v>0</v>
      </c>
      <c r="M30" s="3">
        <f t="shared" si="2"/>
        <v>0</v>
      </c>
      <c r="N30" s="3">
        <v>85</v>
      </c>
      <c r="O30" s="3">
        <v>0.48</v>
      </c>
      <c r="P30" s="3">
        <v>0</v>
      </c>
      <c r="Q30" s="3">
        <v>3.6</v>
      </c>
      <c r="R30" s="3">
        <f t="shared" si="3"/>
        <v>1</v>
      </c>
      <c r="S30" s="3">
        <f t="shared" si="4"/>
        <v>0</v>
      </c>
      <c r="T30" s="3">
        <f t="shared" si="5"/>
        <v>0</v>
      </c>
    </row>
    <row r="31" spans="1:20">
      <c r="A31" s="3" t="s">
        <v>29</v>
      </c>
      <c r="B31" s="4">
        <v>45689</v>
      </c>
      <c r="C31" s="3" t="s">
        <v>15</v>
      </c>
      <c r="D31" s="3" t="s">
        <v>16</v>
      </c>
      <c r="E31" s="3">
        <v>537383.79</v>
      </c>
      <c r="F31" s="3">
        <v>63773.27</v>
      </c>
      <c r="G31" s="3">
        <v>63176.73</v>
      </c>
      <c r="H31" s="3">
        <v>2390</v>
      </c>
      <c r="I31" s="3">
        <v>0.216</v>
      </c>
      <c r="J31" s="3">
        <v>9</v>
      </c>
      <c r="K31" s="3">
        <f t="shared" si="0"/>
        <v>0</v>
      </c>
      <c r="L31" s="3">
        <f t="shared" si="1"/>
        <v>0</v>
      </c>
      <c r="M31" s="3">
        <f t="shared" si="2"/>
        <v>0</v>
      </c>
      <c r="N31" s="3">
        <v>87.5</v>
      </c>
      <c r="O31" s="3">
        <v>0.31</v>
      </c>
      <c r="P31" s="3">
        <v>0</v>
      </c>
      <c r="Q31" s="3">
        <v>3.1</v>
      </c>
      <c r="R31" s="3">
        <f t="shared" si="3"/>
        <v>1</v>
      </c>
      <c r="S31" s="3">
        <f t="shared" si="4"/>
        <v>0</v>
      </c>
      <c r="T31" s="3">
        <f t="shared" si="5"/>
        <v>0</v>
      </c>
    </row>
    <row r="32" spans="1:20">
      <c r="A32" s="3" t="s">
        <v>29</v>
      </c>
      <c r="B32" s="4">
        <v>45717</v>
      </c>
      <c r="C32" s="3" t="s">
        <v>15</v>
      </c>
      <c r="D32" s="3" t="s">
        <v>16</v>
      </c>
      <c r="E32" s="3">
        <v>500173.02</v>
      </c>
      <c r="F32" s="3">
        <v>70982.05</v>
      </c>
      <c r="G32" s="3">
        <v>44970.080000000002</v>
      </c>
      <c r="H32" s="3">
        <v>2471</v>
      </c>
      <c r="I32" s="3">
        <v>0.13600000000000001</v>
      </c>
      <c r="J32" s="3">
        <v>11</v>
      </c>
      <c r="K32" s="3">
        <f t="shared" si="0"/>
        <v>0</v>
      </c>
      <c r="L32" s="3">
        <f t="shared" si="1"/>
        <v>0</v>
      </c>
      <c r="M32" s="3">
        <f t="shared" si="2"/>
        <v>0</v>
      </c>
      <c r="N32" s="3">
        <v>87.6</v>
      </c>
      <c r="O32" s="3">
        <v>3.01</v>
      </c>
      <c r="P32" s="3">
        <v>1</v>
      </c>
      <c r="Q32" s="3">
        <v>3.7</v>
      </c>
      <c r="R32" s="3">
        <f t="shared" si="3"/>
        <v>1</v>
      </c>
      <c r="S32" s="3">
        <f t="shared" si="4"/>
        <v>0</v>
      </c>
      <c r="T32" s="3">
        <f t="shared" si="5"/>
        <v>0</v>
      </c>
    </row>
    <row r="33" spans="1:20">
      <c r="A33" s="3" t="s">
        <v>29</v>
      </c>
      <c r="B33" s="4">
        <v>45748</v>
      </c>
      <c r="C33" s="3" t="s">
        <v>15</v>
      </c>
      <c r="D33" s="3" t="s">
        <v>16</v>
      </c>
      <c r="E33" s="3">
        <v>427917.38</v>
      </c>
      <c r="F33" s="3">
        <v>81824.31</v>
      </c>
      <c r="G33" s="3">
        <v>69816.350000000006</v>
      </c>
      <c r="H33" s="3">
        <v>971</v>
      </c>
      <c r="I33" s="3">
        <v>0.16800000000000001</v>
      </c>
      <c r="J33" s="3">
        <v>5</v>
      </c>
      <c r="K33" s="3">
        <f t="shared" si="0"/>
        <v>0</v>
      </c>
      <c r="L33" s="3">
        <f t="shared" si="1"/>
        <v>0</v>
      </c>
      <c r="M33" s="3">
        <f t="shared" si="2"/>
        <v>0</v>
      </c>
      <c r="N33" s="3">
        <v>89.9</v>
      </c>
      <c r="O33" s="3">
        <v>12.15</v>
      </c>
      <c r="P33" s="3">
        <v>0</v>
      </c>
      <c r="Q33" s="3">
        <v>3.6</v>
      </c>
      <c r="R33" s="3">
        <f t="shared" si="3"/>
        <v>1</v>
      </c>
      <c r="S33" s="3">
        <f t="shared" si="4"/>
        <v>0</v>
      </c>
      <c r="T33" s="3">
        <f t="shared" si="5"/>
        <v>0</v>
      </c>
    </row>
    <row r="34" spans="1:20">
      <c r="A34" s="3" t="s">
        <v>30</v>
      </c>
      <c r="B34" s="4">
        <v>45658</v>
      </c>
      <c r="C34" s="3" t="s">
        <v>20</v>
      </c>
      <c r="D34" s="3" t="s">
        <v>16</v>
      </c>
      <c r="E34" s="3">
        <v>641865.03</v>
      </c>
      <c r="F34" s="3">
        <v>81342.58</v>
      </c>
      <c r="G34" s="3">
        <v>54597.83</v>
      </c>
      <c r="H34" s="3">
        <v>9429</v>
      </c>
      <c r="I34" s="3">
        <v>0.188</v>
      </c>
      <c r="J34" s="3">
        <v>21</v>
      </c>
      <c r="K34" s="3">
        <f t="shared" si="0"/>
        <v>0</v>
      </c>
      <c r="L34" s="3">
        <f t="shared" si="1"/>
        <v>0</v>
      </c>
      <c r="M34" s="3">
        <f t="shared" si="2"/>
        <v>0</v>
      </c>
      <c r="N34" s="3">
        <v>83.3</v>
      </c>
      <c r="O34" s="3">
        <v>11.71</v>
      </c>
      <c r="P34" s="3">
        <v>0</v>
      </c>
      <c r="Q34" s="3">
        <v>4.2</v>
      </c>
      <c r="R34" s="3">
        <f t="shared" si="3"/>
        <v>0</v>
      </c>
      <c r="S34" s="3">
        <f t="shared" si="4"/>
        <v>0</v>
      </c>
      <c r="T34" s="3">
        <f t="shared" si="5"/>
        <v>0</v>
      </c>
    </row>
    <row r="35" spans="1:20">
      <c r="A35" s="3" t="s">
        <v>30</v>
      </c>
      <c r="B35" s="4">
        <v>45689</v>
      </c>
      <c r="C35" s="3" t="s">
        <v>20</v>
      </c>
      <c r="D35" s="3" t="s">
        <v>16</v>
      </c>
      <c r="E35" s="3">
        <v>799477.76000000001</v>
      </c>
      <c r="F35" s="3">
        <v>164974.41</v>
      </c>
      <c r="G35" s="3">
        <v>73771.91</v>
      </c>
      <c r="H35" s="3">
        <v>11695</v>
      </c>
      <c r="I35" s="3">
        <v>7.0000000000000007E-2</v>
      </c>
      <c r="J35" s="3">
        <v>25</v>
      </c>
      <c r="K35" s="3">
        <f t="shared" si="0"/>
        <v>0</v>
      </c>
      <c r="L35" s="3">
        <f t="shared" si="1"/>
        <v>0</v>
      </c>
      <c r="M35" s="3">
        <f t="shared" si="2"/>
        <v>0</v>
      </c>
      <c r="N35" s="3">
        <v>84.7</v>
      </c>
      <c r="O35" s="3">
        <v>0.62</v>
      </c>
      <c r="P35" s="3">
        <v>0</v>
      </c>
      <c r="Q35" s="5">
        <v>3.9</v>
      </c>
      <c r="R35" s="3">
        <f t="shared" si="3"/>
        <v>0</v>
      </c>
      <c r="S35" s="3">
        <f t="shared" si="4"/>
        <v>0</v>
      </c>
      <c r="T35" s="3">
        <f t="shared" si="5"/>
        <v>0</v>
      </c>
    </row>
    <row r="36" spans="1:20">
      <c r="A36" s="3" t="s">
        <v>30</v>
      </c>
      <c r="B36" s="4">
        <v>45717</v>
      </c>
      <c r="C36" s="3" t="s">
        <v>20</v>
      </c>
      <c r="D36" s="3" t="s">
        <v>16</v>
      </c>
      <c r="E36" s="3">
        <v>798952.17</v>
      </c>
      <c r="F36" s="3">
        <v>161499.04</v>
      </c>
      <c r="G36" s="3">
        <v>74413.88</v>
      </c>
      <c r="H36" s="3">
        <v>9449</v>
      </c>
      <c r="I36" s="3">
        <v>3.9E-2</v>
      </c>
      <c r="J36" s="3">
        <v>23</v>
      </c>
      <c r="K36" s="3">
        <f t="shared" si="0"/>
        <v>0</v>
      </c>
      <c r="L36" s="3">
        <f t="shared" si="1"/>
        <v>0</v>
      </c>
      <c r="M36" s="3">
        <f t="shared" si="2"/>
        <v>0</v>
      </c>
      <c r="N36" s="3">
        <v>92.1</v>
      </c>
      <c r="O36" s="3">
        <v>2.12</v>
      </c>
      <c r="P36" s="3">
        <v>0</v>
      </c>
      <c r="Q36" s="3">
        <v>3.5</v>
      </c>
      <c r="R36" s="3">
        <f t="shared" si="3"/>
        <v>0</v>
      </c>
      <c r="S36" s="3">
        <f t="shared" si="4"/>
        <v>0</v>
      </c>
      <c r="T36" s="3">
        <f t="shared" si="5"/>
        <v>0</v>
      </c>
    </row>
    <row r="37" spans="1:20">
      <c r="A37" s="3" t="s">
        <v>30</v>
      </c>
      <c r="B37" s="4">
        <v>45748</v>
      </c>
      <c r="C37" s="3" t="s">
        <v>20</v>
      </c>
      <c r="D37" s="3" t="s">
        <v>16</v>
      </c>
      <c r="E37" s="3">
        <v>800979.78</v>
      </c>
      <c r="F37" s="3">
        <v>149242.26999999999</v>
      </c>
      <c r="G37" s="3">
        <v>52483.77</v>
      </c>
      <c r="H37" s="3">
        <v>10453</v>
      </c>
      <c r="I37" s="3">
        <v>0.247</v>
      </c>
      <c r="J37" s="3">
        <v>25</v>
      </c>
      <c r="K37" s="3">
        <f t="shared" si="0"/>
        <v>0</v>
      </c>
      <c r="L37" s="3">
        <f t="shared" si="1"/>
        <v>0</v>
      </c>
      <c r="M37" s="3">
        <f t="shared" si="2"/>
        <v>0</v>
      </c>
      <c r="N37" s="3">
        <v>99</v>
      </c>
      <c r="O37" s="3">
        <v>6.31</v>
      </c>
      <c r="P37" s="3">
        <v>0</v>
      </c>
      <c r="Q37" s="3">
        <v>3.6</v>
      </c>
      <c r="R37" s="3">
        <f t="shared" si="3"/>
        <v>0</v>
      </c>
      <c r="S37" s="3">
        <f t="shared" si="4"/>
        <v>0</v>
      </c>
      <c r="T37" s="3">
        <f t="shared" si="5"/>
        <v>0</v>
      </c>
    </row>
    <row r="38" spans="1:20">
      <c r="A38" s="3" t="s">
        <v>31</v>
      </c>
      <c r="B38" s="4">
        <v>45658</v>
      </c>
      <c r="C38" s="3" t="s">
        <v>20</v>
      </c>
      <c r="D38" s="3" t="s">
        <v>28</v>
      </c>
      <c r="E38" s="3">
        <v>820593.93</v>
      </c>
      <c r="F38" s="3">
        <v>115860.06</v>
      </c>
      <c r="G38" s="3">
        <v>75269.87</v>
      </c>
      <c r="H38" s="3">
        <v>8838</v>
      </c>
      <c r="I38" s="3">
        <v>9.1999999999999998E-2</v>
      </c>
      <c r="J38" s="3">
        <v>21</v>
      </c>
      <c r="K38" s="3">
        <f t="shared" si="0"/>
        <v>0</v>
      </c>
      <c r="L38" s="3">
        <f t="shared" si="1"/>
        <v>0</v>
      </c>
      <c r="M38" s="3">
        <f t="shared" si="2"/>
        <v>1</v>
      </c>
      <c r="N38" s="3">
        <v>83.1</v>
      </c>
      <c r="O38" s="3">
        <v>9.56</v>
      </c>
      <c r="P38" s="3">
        <v>1</v>
      </c>
      <c r="Q38" s="3">
        <v>4.2</v>
      </c>
      <c r="R38" s="3">
        <f t="shared" si="3"/>
        <v>0</v>
      </c>
      <c r="S38" s="3">
        <f t="shared" si="4"/>
        <v>0</v>
      </c>
      <c r="T38" s="3">
        <f t="shared" si="5"/>
        <v>0</v>
      </c>
    </row>
    <row r="39" spans="1:20">
      <c r="A39" s="3" t="s">
        <v>31</v>
      </c>
      <c r="B39" s="4">
        <v>45689</v>
      </c>
      <c r="C39" s="3" t="s">
        <v>20</v>
      </c>
      <c r="D39" s="3" t="s">
        <v>28</v>
      </c>
      <c r="E39" s="3">
        <v>718330.53</v>
      </c>
      <c r="F39" s="3">
        <v>93247.9</v>
      </c>
      <c r="G39" s="3">
        <v>61245.41</v>
      </c>
      <c r="H39" s="3">
        <v>8156</v>
      </c>
      <c r="I39" s="3">
        <v>0.156</v>
      </c>
      <c r="J39" s="3">
        <v>19</v>
      </c>
      <c r="K39" s="3">
        <f t="shared" si="0"/>
        <v>0</v>
      </c>
      <c r="L39" s="3">
        <f t="shared" si="1"/>
        <v>0</v>
      </c>
      <c r="M39" s="3">
        <f t="shared" si="2"/>
        <v>1</v>
      </c>
      <c r="N39" s="3">
        <v>92.9</v>
      </c>
      <c r="O39" s="3">
        <v>9.0500000000000007</v>
      </c>
      <c r="P39" s="3">
        <v>0</v>
      </c>
      <c r="Q39" s="3">
        <v>3.8</v>
      </c>
      <c r="R39" s="3">
        <f t="shared" si="3"/>
        <v>0</v>
      </c>
      <c r="S39" s="3">
        <f t="shared" si="4"/>
        <v>0</v>
      </c>
      <c r="T39" s="3">
        <f t="shared" si="5"/>
        <v>0</v>
      </c>
    </row>
    <row r="40" spans="1:20">
      <c r="A40" s="3" t="s">
        <v>31</v>
      </c>
      <c r="B40" s="4">
        <v>45717</v>
      </c>
      <c r="C40" s="3" t="s">
        <v>20</v>
      </c>
      <c r="D40" s="3" t="s">
        <v>28</v>
      </c>
      <c r="E40" s="3">
        <v>736633.4</v>
      </c>
      <c r="F40" s="3">
        <v>115654.66</v>
      </c>
      <c r="G40" s="3">
        <v>93381.26</v>
      </c>
      <c r="H40" s="3">
        <v>7562</v>
      </c>
      <c r="I40" s="3">
        <v>0.19800000000000001</v>
      </c>
      <c r="J40" s="3">
        <v>19</v>
      </c>
      <c r="K40" s="3">
        <f t="shared" si="0"/>
        <v>0</v>
      </c>
      <c r="L40" s="3">
        <f t="shared" si="1"/>
        <v>0</v>
      </c>
      <c r="M40" s="3">
        <f t="shared" si="2"/>
        <v>1</v>
      </c>
      <c r="N40" s="3">
        <v>82.9</v>
      </c>
      <c r="O40" s="3">
        <v>5.05</v>
      </c>
      <c r="P40" s="3">
        <v>0</v>
      </c>
      <c r="Q40" s="3">
        <v>4</v>
      </c>
      <c r="R40" s="3">
        <f t="shared" si="3"/>
        <v>0</v>
      </c>
      <c r="S40" s="3">
        <f t="shared" si="4"/>
        <v>0</v>
      </c>
      <c r="T40" s="3">
        <f t="shared" si="5"/>
        <v>0</v>
      </c>
    </row>
    <row r="41" spans="1:20">
      <c r="A41" s="3" t="s">
        <v>31</v>
      </c>
      <c r="B41" s="4">
        <v>45748</v>
      </c>
      <c r="C41" s="3" t="s">
        <v>20</v>
      </c>
      <c r="D41" s="3" t="s">
        <v>28</v>
      </c>
      <c r="E41" s="3">
        <v>828623.85</v>
      </c>
      <c r="F41" s="3">
        <v>167320.51999999999</v>
      </c>
      <c r="G41" s="3">
        <v>65012.19</v>
      </c>
      <c r="H41" s="3">
        <v>9598</v>
      </c>
      <c r="I41" s="3">
        <v>8.5000000000000006E-2</v>
      </c>
      <c r="J41" s="3">
        <v>24</v>
      </c>
      <c r="K41" s="3">
        <f t="shared" si="0"/>
        <v>0</v>
      </c>
      <c r="L41" s="3">
        <f t="shared" si="1"/>
        <v>0</v>
      </c>
      <c r="M41" s="3">
        <f t="shared" si="2"/>
        <v>1</v>
      </c>
      <c r="N41" s="3">
        <v>98.3</v>
      </c>
      <c r="O41" s="3">
        <v>0.89</v>
      </c>
      <c r="P41" s="3">
        <v>0</v>
      </c>
      <c r="Q41" s="3">
        <v>3.8</v>
      </c>
      <c r="R41" s="3">
        <f t="shared" si="3"/>
        <v>0</v>
      </c>
      <c r="S41" s="3">
        <f t="shared" si="4"/>
        <v>0</v>
      </c>
      <c r="T41" s="3">
        <f t="shared" si="5"/>
        <v>0</v>
      </c>
    </row>
    <row r="42" spans="1:20">
      <c r="A42" s="3" t="s">
        <v>32</v>
      </c>
      <c r="B42" s="4">
        <v>45658</v>
      </c>
      <c r="C42" s="3" t="s">
        <v>15</v>
      </c>
      <c r="D42" s="3" t="s">
        <v>28</v>
      </c>
      <c r="E42" s="3">
        <v>592195.85</v>
      </c>
      <c r="F42" s="3">
        <v>92291.56</v>
      </c>
      <c r="G42" s="3">
        <v>40462.94</v>
      </c>
      <c r="H42" s="3">
        <v>3660</v>
      </c>
      <c r="I42" s="3">
        <v>0.218</v>
      </c>
      <c r="J42" s="3">
        <v>11</v>
      </c>
      <c r="K42" s="3">
        <f t="shared" si="0"/>
        <v>0</v>
      </c>
      <c r="L42" s="3">
        <f t="shared" si="1"/>
        <v>0</v>
      </c>
      <c r="M42" s="3">
        <f t="shared" si="2"/>
        <v>1</v>
      </c>
      <c r="N42" s="3">
        <v>95.2</v>
      </c>
      <c r="O42" s="3">
        <v>5.57</v>
      </c>
      <c r="P42" s="3">
        <v>0</v>
      </c>
      <c r="Q42" s="3">
        <v>4.4000000000000004</v>
      </c>
      <c r="R42" s="3">
        <f t="shared" si="3"/>
        <v>1</v>
      </c>
      <c r="S42" s="3">
        <f t="shared" si="4"/>
        <v>0</v>
      </c>
      <c r="T42" s="3">
        <f t="shared" si="5"/>
        <v>0</v>
      </c>
    </row>
    <row r="43" spans="1:20">
      <c r="A43" s="3" t="s">
        <v>32</v>
      </c>
      <c r="B43" s="4">
        <v>45689</v>
      </c>
      <c r="C43" s="3" t="s">
        <v>15</v>
      </c>
      <c r="D43" s="3" t="s">
        <v>28</v>
      </c>
      <c r="E43" s="3">
        <v>532644.46</v>
      </c>
      <c r="F43" s="3">
        <v>60681.32</v>
      </c>
      <c r="G43" s="3">
        <v>46123.88</v>
      </c>
      <c r="H43" s="3">
        <v>3227</v>
      </c>
      <c r="I43" s="3">
        <v>0.14299999999999999</v>
      </c>
      <c r="J43" s="3">
        <v>10</v>
      </c>
      <c r="K43" s="3">
        <f t="shared" si="0"/>
        <v>0</v>
      </c>
      <c r="L43" s="3">
        <f t="shared" si="1"/>
        <v>0</v>
      </c>
      <c r="M43" s="3">
        <f t="shared" si="2"/>
        <v>1</v>
      </c>
      <c r="N43" s="3">
        <v>75.400000000000006</v>
      </c>
      <c r="O43" s="3">
        <v>1.06</v>
      </c>
      <c r="P43" s="3">
        <v>0</v>
      </c>
      <c r="Q43" s="3">
        <v>4.4000000000000004</v>
      </c>
      <c r="R43" s="3">
        <f t="shared" si="3"/>
        <v>1</v>
      </c>
      <c r="S43" s="3">
        <f t="shared" si="4"/>
        <v>0</v>
      </c>
      <c r="T43" s="3">
        <f t="shared" si="5"/>
        <v>0</v>
      </c>
    </row>
    <row r="44" spans="1:20">
      <c r="A44" s="3" t="s">
        <v>32</v>
      </c>
      <c r="B44" s="4">
        <v>45717</v>
      </c>
      <c r="C44" s="3" t="s">
        <v>15</v>
      </c>
      <c r="D44" s="3" t="s">
        <v>28</v>
      </c>
      <c r="E44" s="3">
        <v>657429.18000000005</v>
      </c>
      <c r="F44" s="3">
        <v>88919.74</v>
      </c>
      <c r="G44" s="3">
        <v>68077.539999999994</v>
      </c>
      <c r="H44" s="3">
        <v>3360</v>
      </c>
      <c r="I44" s="3">
        <v>0.128</v>
      </c>
      <c r="J44" s="3">
        <v>14</v>
      </c>
      <c r="K44" s="3">
        <f t="shared" si="0"/>
        <v>0</v>
      </c>
      <c r="L44" s="3">
        <f t="shared" si="1"/>
        <v>0</v>
      </c>
      <c r="M44" s="3">
        <f t="shared" si="2"/>
        <v>1</v>
      </c>
      <c r="N44" s="3">
        <v>88.2</v>
      </c>
      <c r="O44" s="3">
        <v>1.24</v>
      </c>
      <c r="P44" s="3">
        <v>1</v>
      </c>
      <c r="Q44" s="3">
        <v>4</v>
      </c>
      <c r="R44" s="3">
        <f t="shared" si="3"/>
        <v>1</v>
      </c>
      <c r="S44" s="3">
        <f t="shared" si="4"/>
        <v>0</v>
      </c>
      <c r="T44" s="3">
        <f t="shared" si="5"/>
        <v>0</v>
      </c>
    </row>
    <row r="45" spans="1:20">
      <c r="A45" s="3" t="s">
        <v>32</v>
      </c>
      <c r="B45" s="4">
        <v>45748</v>
      </c>
      <c r="C45" s="3" t="s">
        <v>15</v>
      </c>
      <c r="D45" s="3" t="s">
        <v>28</v>
      </c>
      <c r="E45" s="3">
        <v>605178</v>
      </c>
      <c r="F45" s="3">
        <v>106958.74</v>
      </c>
      <c r="G45" s="3">
        <v>64882.14</v>
      </c>
      <c r="H45" s="3">
        <v>3642</v>
      </c>
      <c r="I45" s="3">
        <v>1.9E-2</v>
      </c>
      <c r="J45" s="3">
        <v>13</v>
      </c>
      <c r="K45" s="3">
        <f t="shared" si="0"/>
        <v>0</v>
      </c>
      <c r="L45" s="3">
        <f t="shared" si="1"/>
        <v>0</v>
      </c>
      <c r="M45" s="3">
        <f t="shared" si="2"/>
        <v>1</v>
      </c>
      <c r="N45" s="3">
        <v>87.8</v>
      </c>
      <c r="O45" s="3">
        <v>4.5199999999999996</v>
      </c>
      <c r="P45" s="3">
        <v>0</v>
      </c>
      <c r="Q45" s="3">
        <v>4.2</v>
      </c>
      <c r="R45" s="3">
        <f t="shared" si="3"/>
        <v>1</v>
      </c>
      <c r="S45" s="3">
        <f t="shared" si="4"/>
        <v>0</v>
      </c>
      <c r="T45" s="3">
        <f t="shared" si="5"/>
        <v>0</v>
      </c>
    </row>
    <row r="46" spans="1:20">
      <c r="A46" s="3" t="s">
        <v>33</v>
      </c>
      <c r="B46" s="4">
        <v>45658</v>
      </c>
      <c r="C46" s="3" t="s">
        <v>27</v>
      </c>
      <c r="D46" s="3" t="s">
        <v>16</v>
      </c>
      <c r="E46" s="3">
        <v>595467.6</v>
      </c>
      <c r="F46" s="3">
        <v>104276.46</v>
      </c>
      <c r="G46" s="3">
        <v>138855.51</v>
      </c>
      <c r="H46" s="3">
        <v>5145</v>
      </c>
      <c r="I46" s="3">
        <v>0.06</v>
      </c>
      <c r="J46" s="3">
        <v>17</v>
      </c>
      <c r="K46" s="3">
        <f t="shared" si="0"/>
        <v>0</v>
      </c>
      <c r="L46" s="3">
        <f t="shared" si="1"/>
        <v>0</v>
      </c>
      <c r="M46" s="3">
        <f t="shared" si="2"/>
        <v>0</v>
      </c>
      <c r="N46" s="3">
        <v>88.2</v>
      </c>
      <c r="O46" s="3">
        <v>9.58</v>
      </c>
      <c r="P46" s="3">
        <v>0</v>
      </c>
      <c r="Q46" s="3">
        <v>3.2</v>
      </c>
      <c r="R46" s="3">
        <f t="shared" si="3"/>
        <v>0</v>
      </c>
      <c r="S46" s="3">
        <f t="shared" si="4"/>
        <v>0</v>
      </c>
      <c r="T46" s="3">
        <f t="shared" si="5"/>
        <v>1</v>
      </c>
    </row>
    <row r="47" spans="1:20">
      <c r="A47" s="3" t="s">
        <v>33</v>
      </c>
      <c r="B47" s="4">
        <v>45689</v>
      </c>
      <c r="C47" s="3" t="s">
        <v>27</v>
      </c>
      <c r="D47" s="3" t="s">
        <v>16</v>
      </c>
      <c r="E47" s="3">
        <v>599603.4</v>
      </c>
      <c r="F47" s="3">
        <v>112685.12</v>
      </c>
      <c r="G47" s="3">
        <v>63630.21</v>
      </c>
      <c r="H47" s="3">
        <v>4460</v>
      </c>
      <c r="I47" s="3">
        <v>0.23499999999999999</v>
      </c>
      <c r="J47" s="3">
        <v>14</v>
      </c>
      <c r="K47" s="3">
        <f t="shared" si="0"/>
        <v>0</v>
      </c>
      <c r="L47" s="3">
        <f t="shared" si="1"/>
        <v>0</v>
      </c>
      <c r="M47" s="3">
        <f t="shared" si="2"/>
        <v>0</v>
      </c>
      <c r="N47" s="3">
        <v>98.6</v>
      </c>
      <c r="O47" s="3">
        <v>5.52</v>
      </c>
      <c r="P47" s="3">
        <v>0</v>
      </c>
      <c r="Q47" s="3">
        <v>3.5</v>
      </c>
      <c r="R47" s="3">
        <f t="shared" si="3"/>
        <v>0</v>
      </c>
      <c r="S47" s="3">
        <f t="shared" si="4"/>
        <v>0</v>
      </c>
      <c r="T47" s="3">
        <f t="shared" si="5"/>
        <v>1</v>
      </c>
    </row>
    <row r="48" spans="1:20">
      <c r="A48" s="3" t="s">
        <v>33</v>
      </c>
      <c r="B48" s="4">
        <v>45717</v>
      </c>
      <c r="C48" s="3" t="s">
        <v>27</v>
      </c>
      <c r="D48" s="3" t="s">
        <v>16</v>
      </c>
      <c r="E48" s="3">
        <v>614800.09</v>
      </c>
      <c r="F48" s="3">
        <v>100044.2</v>
      </c>
      <c r="G48" s="3">
        <v>50043.65</v>
      </c>
      <c r="H48" s="3">
        <v>3804</v>
      </c>
      <c r="I48" s="3">
        <v>0.113</v>
      </c>
      <c r="J48" s="3">
        <v>11</v>
      </c>
      <c r="K48" s="3">
        <f t="shared" si="0"/>
        <v>0</v>
      </c>
      <c r="L48" s="3">
        <f t="shared" si="1"/>
        <v>0</v>
      </c>
      <c r="M48" s="3">
        <f t="shared" si="2"/>
        <v>0</v>
      </c>
      <c r="N48" s="3">
        <v>90.9</v>
      </c>
      <c r="O48" s="3">
        <v>2.7</v>
      </c>
      <c r="P48" s="3">
        <v>1</v>
      </c>
      <c r="Q48" s="3">
        <v>3.2</v>
      </c>
      <c r="R48" s="3">
        <f t="shared" si="3"/>
        <v>0</v>
      </c>
      <c r="S48" s="3">
        <f t="shared" si="4"/>
        <v>0</v>
      </c>
      <c r="T48" s="3">
        <f t="shared" si="5"/>
        <v>1</v>
      </c>
    </row>
    <row r="49" spans="1:20">
      <c r="A49" s="3" t="s">
        <v>33</v>
      </c>
      <c r="B49" s="4">
        <v>45748</v>
      </c>
      <c r="C49" s="3" t="s">
        <v>27</v>
      </c>
      <c r="D49" s="3" t="s">
        <v>16</v>
      </c>
      <c r="E49" s="3">
        <v>585365.73</v>
      </c>
      <c r="F49" s="3">
        <v>81011.520000000004</v>
      </c>
      <c r="G49" s="3">
        <v>42093.84</v>
      </c>
      <c r="H49" s="3">
        <v>4074</v>
      </c>
      <c r="I49" s="3">
        <v>0.155</v>
      </c>
      <c r="J49" s="3">
        <v>15</v>
      </c>
      <c r="K49" s="3">
        <f t="shared" si="0"/>
        <v>0</v>
      </c>
      <c r="L49" s="3">
        <f t="shared" si="1"/>
        <v>0</v>
      </c>
      <c r="M49" s="3">
        <f t="shared" si="2"/>
        <v>0</v>
      </c>
      <c r="N49" s="3">
        <v>88</v>
      </c>
      <c r="O49" s="3">
        <v>9.64</v>
      </c>
      <c r="P49" s="3">
        <v>0</v>
      </c>
      <c r="Q49" s="3">
        <v>3.3</v>
      </c>
      <c r="R49" s="3">
        <f t="shared" si="3"/>
        <v>0</v>
      </c>
      <c r="S49" s="3">
        <f t="shared" si="4"/>
        <v>0</v>
      </c>
      <c r="T49" s="3">
        <f t="shared" si="5"/>
        <v>1</v>
      </c>
    </row>
    <row r="50" spans="1:20">
      <c r="A50" s="3" t="s">
        <v>34</v>
      </c>
      <c r="B50" s="4">
        <v>45658</v>
      </c>
      <c r="C50" s="3" t="s">
        <v>20</v>
      </c>
      <c r="D50" s="3" t="s">
        <v>28</v>
      </c>
      <c r="E50" s="3">
        <v>622811.74</v>
      </c>
      <c r="F50" s="3">
        <v>109978.35</v>
      </c>
      <c r="G50" s="3">
        <v>46624.05</v>
      </c>
      <c r="H50" s="3">
        <v>5104</v>
      </c>
      <c r="I50" s="3">
        <v>0.109</v>
      </c>
      <c r="J50" s="3">
        <v>11</v>
      </c>
      <c r="K50" s="3">
        <f t="shared" si="0"/>
        <v>0</v>
      </c>
      <c r="L50" s="3">
        <f t="shared" si="1"/>
        <v>0</v>
      </c>
      <c r="M50" s="3">
        <f t="shared" si="2"/>
        <v>1</v>
      </c>
      <c r="N50" s="3">
        <v>97.3</v>
      </c>
      <c r="O50" s="3">
        <v>3.49</v>
      </c>
      <c r="P50" s="3">
        <v>1</v>
      </c>
      <c r="Q50" s="3">
        <v>4.7</v>
      </c>
      <c r="R50" s="3">
        <f t="shared" si="3"/>
        <v>0</v>
      </c>
      <c r="S50" s="3">
        <f t="shared" si="4"/>
        <v>0</v>
      </c>
      <c r="T50" s="3">
        <f t="shared" si="5"/>
        <v>0</v>
      </c>
    </row>
    <row r="51" spans="1:20">
      <c r="A51" s="3" t="s">
        <v>34</v>
      </c>
      <c r="B51" s="4">
        <v>45689</v>
      </c>
      <c r="C51" s="3" t="s">
        <v>20</v>
      </c>
      <c r="D51" s="3" t="s">
        <v>28</v>
      </c>
      <c r="E51" s="3">
        <v>603297.56999999995</v>
      </c>
      <c r="F51" s="3">
        <v>60592.26</v>
      </c>
      <c r="G51" s="3">
        <v>49710.29</v>
      </c>
      <c r="H51" s="3">
        <v>5559</v>
      </c>
      <c r="I51" s="3">
        <v>0.218</v>
      </c>
      <c r="J51" s="3">
        <v>14</v>
      </c>
      <c r="K51" s="3">
        <f t="shared" si="0"/>
        <v>0</v>
      </c>
      <c r="L51" s="3">
        <f t="shared" si="1"/>
        <v>0</v>
      </c>
      <c r="M51" s="3">
        <f t="shared" si="2"/>
        <v>1</v>
      </c>
      <c r="N51" s="3">
        <v>71</v>
      </c>
      <c r="O51" s="3">
        <v>9.11</v>
      </c>
      <c r="P51" s="3">
        <v>0</v>
      </c>
      <c r="Q51" s="3">
        <v>4.5999999999999996</v>
      </c>
      <c r="R51" s="3">
        <f t="shared" si="3"/>
        <v>0</v>
      </c>
      <c r="S51" s="3">
        <f t="shared" si="4"/>
        <v>0</v>
      </c>
      <c r="T51" s="3">
        <f t="shared" si="5"/>
        <v>0</v>
      </c>
    </row>
    <row r="52" spans="1:20">
      <c r="A52" s="3" t="s">
        <v>34</v>
      </c>
      <c r="B52" s="4">
        <v>45717</v>
      </c>
      <c r="C52" s="3" t="s">
        <v>20</v>
      </c>
      <c r="D52" s="3" t="s">
        <v>28</v>
      </c>
      <c r="E52" s="3">
        <v>625672.86</v>
      </c>
      <c r="F52" s="3">
        <v>118020.12</v>
      </c>
      <c r="G52" s="3">
        <v>48287.85</v>
      </c>
      <c r="H52" s="3">
        <v>5150</v>
      </c>
      <c r="I52" s="3">
        <v>8.0000000000000002E-3</v>
      </c>
      <c r="J52" s="3">
        <v>12</v>
      </c>
      <c r="K52" s="3">
        <f t="shared" si="0"/>
        <v>0</v>
      </c>
      <c r="L52" s="3">
        <f t="shared" si="1"/>
        <v>0</v>
      </c>
      <c r="M52" s="3">
        <f t="shared" si="2"/>
        <v>1</v>
      </c>
      <c r="N52" s="3">
        <v>80.400000000000006</v>
      </c>
      <c r="O52" s="3">
        <v>7.4</v>
      </c>
      <c r="P52" s="3">
        <v>0</v>
      </c>
      <c r="Q52" s="3">
        <v>4.5</v>
      </c>
      <c r="R52" s="3">
        <f t="shared" si="3"/>
        <v>0</v>
      </c>
      <c r="S52" s="3">
        <f t="shared" si="4"/>
        <v>0</v>
      </c>
      <c r="T52" s="3">
        <f t="shared" si="5"/>
        <v>0</v>
      </c>
    </row>
    <row r="53" spans="1:20">
      <c r="A53" s="3" t="s">
        <v>34</v>
      </c>
      <c r="B53" s="4">
        <v>45748</v>
      </c>
      <c r="C53" s="3" t="s">
        <v>20</v>
      </c>
      <c r="D53" s="3" t="s">
        <v>28</v>
      </c>
      <c r="E53" s="3">
        <v>773815.14</v>
      </c>
      <c r="F53" s="3">
        <v>133948.39000000001</v>
      </c>
      <c r="G53" s="3">
        <v>65312.49</v>
      </c>
      <c r="H53" s="3">
        <v>7189</v>
      </c>
      <c r="I53" s="3">
        <v>0.05</v>
      </c>
      <c r="J53" s="3">
        <v>19</v>
      </c>
      <c r="K53" s="3">
        <f t="shared" si="0"/>
        <v>0</v>
      </c>
      <c r="L53" s="3">
        <f t="shared" si="1"/>
        <v>0</v>
      </c>
      <c r="M53" s="3">
        <f t="shared" si="2"/>
        <v>1</v>
      </c>
      <c r="N53" s="3">
        <v>93.7</v>
      </c>
      <c r="O53" s="3">
        <v>7.16</v>
      </c>
      <c r="P53" s="3">
        <v>0</v>
      </c>
      <c r="Q53" s="3">
        <v>4.5999999999999996</v>
      </c>
      <c r="R53" s="3">
        <f t="shared" si="3"/>
        <v>0</v>
      </c>
      <c r="S53" s="3">
        <f t="shared" si="4"/>
        <v>0</v>
      </c>
      <c r="T53" s="3">
        <f t="shared" si="5"/>
        <v>0</v>
      </c>
    </row>
    <row r="54" spans="1:20">
      <c r="A54" s="3" t="s">
        <v>35</v>
      </c>
      <c r="B54" s="4">
        <v>45658</v>
      </c>
      <c r="C54" s="3" t="s">
        <v>27</v>
      </c>
      <c r="D54" s="3" t="s">
        <v>18</v>
      </c>
      <c r="E54" s="3">
        <v>463534.25</v>
      </c>
      <c r="F54" s="3">
        <v>81834.539999999994</v>
      </c>
      <c r="G54" s="3">
        <v>53015.46</v>
      </c>
      <c r="H54" s="3">
        <v>3279</v>
      </c>
      <c r="I54" s="3">
        <v>8.6999999999999994E-2</v>
      </c>
      <c r="J54" s="3">
        <v>9</v>
      </c>
      <c r="K54" s="3">
        <f t="shared" si="0"/>
        <v>1</v>
      </c>
      <c r="L54" s="3">
        <f t="shared" si="1"/>
        <v>0</v>
      </c>
      <c r="M54" s="3">
        <f t="shared" si="2"/>
        <v>0</v>
      </c>
      <c r="N54" s="3">
        <v>84.3</v>
      </c>
      <c r="O54" s="3">
        <v>22.02</v>
      </c>
      <c r="P54" s="3">
        <v>0</v>
      </c>
      <c r="Q54" s="3">
        <v>3.9</v>
      </c>
      <c r="R54" s="3">
        <f t="shared" si="3"/>
        <v>0</v>
      </c>
      <c r="S54" s="3">
        <f t="shared" si="4"/>
        <v>0</v>
      </c>
      <c r="T54" s="3">
        <f t="shared" si="5"/>
        <v>1</v>
      </c>
    </row>
    <row r="55" spans="1:20">
      <c r="A55" s="3" t="s">
        <v>35</v>
      </c>
      <c r="B55" s="4">
        <v>45689</v>
      </c>
      <c r="C55" s="3" t="s">
        <v>27</v>
      </c>
      <c r="D55" s="3" t="s">
        <v>18</v>
      </c>
      <c r="E55" s="3">
        <v>746677.75</v>
      </c>
      <c r="F55" s="3">
        <v>122437.84</v>
      </c>
      <c r="G55" s="3">
        <v>99874.01</v>
      </c>
      <c r="H55" s="3">
        <v>5887</v>
      </c>
      <c r="I55" s="3">
        <v>0.26200000000000001</v>
      </c>
      <c r="J55" s="3">
        <v>14</v>
      </c>
      <c r="K55" s="3">
        <f t="shared" si="0"/>
        <v>1</v>
      </c>
      <c r="L55" s="3">
        <f t="shared" si="1"/>
        <v>0</v>
      </c>
      <c r="M55" s="3">
        <f t="shared" si="2"/>
        <v>0</v>
      </c>
      <c r="N55" s="3">
        <v>88.7</v>
      </c>
      <c r="O55" s="3">
        <v>6.18</v>
      </c>
      <c r="P55" s="3">
        <v>0</v>
      </c>
      <c r="Q55" s="3">
        <v>4.7</v>
      </c>
      <c r="R55" s="3">
        <f t="shared" si="3"/>
        <v>0</v>
      </c>
      <c r="S55" s="3">
        <f t="shared" si="4"/>
        <v>0</v>
      </c>
      <c r="T55" s="3">
        <f t="shared" si="5"/>
        <v>1</v>
      </c>
    </row>
    <row r="56" spans="1:20">
      <c r="A56" s="3" t="s">
        <v>35</v>
      </c>
      <c r="B56" s="4">
        <v>45717</v>
      </c>
      <c r="C56" s="3" t="s">
        <v>27</v>
      </c>
      <c r="D56" s="3" t="s">
        <v>18</v>
      </c>
      <c r="E56" s="3">
        <v>720852.5</v>
      </c>
      <c r="F56" s="3">
        <v>98565.62</v>
      </c>
      <c r="G56" s="3">
        <v>81195.5</v>
      </c>
      <c r="H56" s="3">
        <v>5516</v>
      </c>
      <c r="I56" s="3">
        <v>0.106</v>
      </c>
      <c r="J56" s="3">
        <v>14</v>
      </c>
      <c r="K56" s="3">
        <f t="shared" si="0"/>
        <v>1</v>
      </c>
      <c r="L56" s="3">
        <f t="shared" si="1"/>
        <v>0</v>
      </c>
      <c r="M56" s="3">
        <f t="shared" si="2"/>
        <v>0</v>
      </c>
      <c r="N56" s="3">
        <v>88</v>
      </c>
      <c r="O56" s="3">
        <v>1.76</v>
      </c>
      <c r="P56" s="3">
        <v>0</v>
      </c>
      <c r="Q56" s="3">
        <v>4.3</v>
      </c>
      <c r="R56" s="3">
        <f t="shared" si="3"/>
        <v>0</v>
      </c>
      <c r="S56" s="3">
        <f t="shared" si="4"/>
        <v>0</v>
      </c>
      <c r="T56" s="3">
        <f t="shared" si="5"/>
        <v>1</v>
      </c>
    </row>
    <row r="57" spans="1:20">
      <c r="A57" s="3" t="s">
        <v>35</v>
      </c>
      <c r="B57" s="4">
        <v>45748</v>
      </c>
      <c r="C57" s="3" t="s">
        <v>27</v>
      </c>
      <c r="D57" s="3" t="s">
        <v>18</v>
      </c>
      <c r="E57" s="3">
        <v>487464.91</v>
      </c>
      <c r="F57" s="3">
        <v>64562.26</v>
      </c>
      <c r="G57" s="3">
        <v>27808.6</v>
      </c>
      <c r="H57" s="3">
        <v>2863</v>
      </c>
      <c r="I57" s="3">
        <v>0.08</v>
      </c>
      <c r="J57" s="3">
        <v>13</v>
      </c>
      <c r="K57" s="3">
        <f t="shared" si="0"/>
        <v>1</v>
      </c>
      <c r="L57" s="3">
        <f t="shared" si="1"/>
        <v>0</v>
      </c>
      <c r="M57" s="3">
        <f t="shared" si="2"/>
        <v>0</v>
      </c>
      <c r="N57" s="3">
        <v>89.3</v>
      </c>
      <c r="O57" s="3">
        <v>0.47</v>
      </c>
      <c r="P57" s="3">
        <v>0</v>
      </c>
      <c r="Q57" s="3">
        <v>4.0999999999999996</v>
      </c>
      <c r="R57" s="3">
        <f t="shared" si="3"/>
        <v>0</v>
      </c>
      <c r="S57" s="3">
        <f t="shared" si="4"/>
        <v>0</v>
      </c>
      <c r="T57" s="3">
        <f t="shared" si="5"/>
        <v>1</v>
      </c>
    </row>
    <row r="58" spans="1:20">
      <c r="A58" s="3" t="s">
        <v>36</v>
      </c>
      <c r="B58" s="4">
        <v>45658</v>
      </c>
      <c r="C58" s="3" t="s">
        <v>15</v>
      </c>
      <c r="D58" s="3" t="s">
        <v>21</v>
      </c>
      <c r="E58" s="3">
        <v>518049.26</v>
      </c>
      <c r="F58" s="3">
        <v>108592.49</v>
      </c>
      <c r="G58" s="3">
        <v>19365.060000000001</v>
      </c>
      <c r="H58" s="3">
        <v>2378</v>
      </c>
      <c r="I58" s="3">
        <v>0</v>
      </c>
      <c r="J58" s="3">
        <v>12</v>
      </c>
      <c r="K58" s="3">
        <f t="shared" si="0"/>
        <v>0</v>
      </c>
      <c r="L58" s="3">
        <f t="shared" si="1"/>
        <v>1</v>
      </c>
      <c r="M58" s="3">
        <f t="shared" si="2"/>
        <v>0</v>
      </c>
      <c r="N58" s="3">
        <v>94.8</v>
      </c>
      <c r="O58" s="3">
        <v>0.2</v>
      </c>
      <c r="P58" s="3">
        <v>0</v>
      </c>
      <c r="Q58" s="3">
        <v>3.5</v>
      </c>
      <c r="R58" s="3">
        <f t="shared" si="3"/>
        <v>1</v>
      </c>
      <c r="S58" s="3">
        <f t="shared" si="4"/>
        <v>0</v>
      </c>
      <c r="T58" s="3">
        <f t="shared" si="5"/>
        <v>0</v>
      </c>
    </row>
    <row r="59" spans="1:20">
      <c r="A59" s="3" t="s">
        <v>36</v>
      </c>
      <c r="B59" s="4">
        <v>45689</v>
      </c>
      <c r="C59" s="3" t="s">
        <v>15</v>
      </c>
      <c r="D59" s="3" t="s">
        <v>21</v>
      </c>
      <c r="E59" s="3">
        <v>500298.48</v>
      </c>
      <c r="F59" s="3">
        <v>73461.320000000007</v>
      </c>
      <c r="G59" s="3">
        <v>59405.68</v>
      </c>
      <c r="H59" s="3">
        <v>2515</v>
      </c>
      <c r="I59" s="3">
        <v>3.9E-2</v>
      </c>
      <c r="J59" s="3">
        <v>12</v>
      </c>
      <c r="K59" s="3">
        <f t="shared" si="0"/>
        <v>0</v>
      </c>
      <c r="L59" s="3">
        <f t="shared" si="1"/>
        <v>1</v>
      </c>
      <c r="M59" s="3">
        <f t="shared" si="2"/>
        <v>0</v>
      </c>
      <c r="N59" s="3">
        <v>76</v>
      </c>
      <c r="O59" s="3">
        <v>5.1100000000000003</v>
      </c>
      <c r="P59" s="3">
        <v>0</v>
      </c>
      <c r="Q59" s="3">
        <v>3.7</v>
      </c>
      <c r="R59" s="3">
        <f t="shared" si="3"/>
        <v>1</v>
      </c>
      <c r="S59" s="3">
        <f t="shared" si="4"/>
        <v>0</v>
      </c>
      <c r="T59" s="3">
        <f t="shared" si="5"/>
        <v>0</v>
      </c>
    </row>
    <row r="60" spans="1:20">
      <c r="A60" s="3" t="s">
        <v>36</v>
      </c>
      <c r="B60" s="4">
        <v>45717</v>
      </c>
      <c r="C60" s="3" t="s">
        <v>15</v>
      </c>
      <c r="D60" s="3" t="s">
        <v>21</v>
      </c>
      <c r="E60" s="3">
        <v>617291.15</v>
      </c>
      <c r="F60" s="3">
        <v>117782</v>
      </c>
      <c r="G60" s="3">
        <v>118910.48</v>
      </c>
      <c r="H60" s="3">
        <v>4022</v>
      </c>
      <c r="I60" s="3">
        <v>0.13700000000000001</v>
      </c>
      <c r="J60" s="3">
        <v>11</v>
      </c>
      <c r="K60" s="3">
        <f t="shared" si="0"/>
        <v>0</v>
      </c>
      <c r="L60" s="3">
        <f t="shared" si="1"/>
        <v>1</v>
      </c>
      <c r="M60" s="3">
        <f t="shared" si="2"/>
        <v>0</v>
      </c>
      <c r="N60" s="3">
        <v>87.1</v>
      </c>
      <c r="O60" s="3">
        <v>0.2</v>
      </c>
      <c r="P60" s="3">
        <v>0</v>
      </c>
      <c r="Q60" s="3">
        <v>3.1</v>
      </c>
      <c r="R60" s="3">
        <f t="shared" si="3"/>
        <v>1</v>
      </c>
      <c r="S60" s="3">
        <f t="shared" si="4"/>
        <v>0</v>
      </c>
      <c r="T60" s="3">
        <f t="shared" si="5"/>
        <v>0</v>
      </c>
    </row>
    <row r="61" spans="1:20">
      <c r="A61" s="3" t="s">
        <v>36</v>
      </c>
      <c r="B61" s="4">
        <v>45748</v>
      </c>
      <c r="C61" s="3" t="s">
        <v>15</v>
      </c>
      <c r="D61" s="3" t="s">
        <v>21</v>
      </c>
      <c r="E61" s="3">
        <v>553756.43000000005</v>
      </c>
      <c r="F61" s="3">
        <v>86166.77</v>
      </c>
      <c r="G61" s="3">
        <v>52952.12</v>
      </c>
      <c r="H61" s="3">
        <v>4377</v>
      </c>
      <c r="I61" s="3">
        <v>9.1999999999999998E-2</v>
      </c>
      <c r="J61" s="3">
        <v>14</v>
      </c>
      <c r="K61" s="3">
        <f t="shared" si="0"/>
        <v>0</v>
      </c>
      <c r="L61" s="3">
        <f t="shared" si="1"/>
        <v>1</v>
      </c>
      <c r="M61" s="3">
        <f t="shared" si="2"/>
        <v>0</v>
      </c>
      <c r="N61" s="3">
        <v>88.6</v>
      </c>
      <c r="O61" s="3">
        <v>13.59</v>
      </c>
      <c r="P61" s="3">
        <v>0</v>
      </c>
      <c r="Q61" s="3">
        <v>3.1</v>
      </c>
      <c r="R61" s="3">
        <f t="shared" si="3"/>
        <v>1</v>
      </c>
      <c r="S61" s="3">
        <f t="shared" si="4"/>
        <v>0</v>
      </c>
      <c r="T61" s="3">
        <f t="shared" si="5"/>
        <v>0</v>
      </c>
    </row>
    <row r="62" spans="1:20">
      <c r="A62" s="3" t="s">
        <v>37</v>
      </c>
      <c r="B62" s="4">
        <v>45658</v>
      </c>
      <c r="C62" s="3" t="s">
        <v>24</v>
      </c>
      <c r="D62" s="3" t="s">
        <v>18</v>
      </c>
      <c r="E62" s="3">
        <v>749559.71</v>
      </c>
      <c r="F62" s="3">
        <v>144522.53</v>
      </c>
      <c r="G62" s="3">
        <v>74907.98</v>
      </c>
      <c r="H62" s="3">
        <v>5306</v>
      </c>
      <c r="I62" s="3">
        <v>6.2E-2</v>
      </c>
      <c r="J62" s="3">
        <v>16</v>
      </c>
      <c r="K62" s="3">
        <f t="shared" si="0"/>
        <v>1</v>
      </c>
      <c r="L62" s="3">
        <f t="shared" si="1"/>
        <v>0</v>
      </c>
      <c r="M62" s="3">
        <f t="shared" si="2"/>
        <v>0</v>
      </c>
      <c r="N62" s="3">
        <v>95.6</v>
      </c>
      <c r="O62" s="3">
        <v>1.02</v>
      </c>
      <c r="P62" s="3">
        <v>0</v>
      </c>
      <c r="Q62" s="3">
        <v>3.7</v>
      </c>
      <c r="R62" s="3">
        <f t="shared" si="3"/>
        <v>0</v>
      </c>
      <c r="S62" s="3">
        <f t="shared" si="4"/>
        <v>1</v>
      </c>
      <c r="T62" s="3">
        <f t="shared" si="5"/>
        <v>0</v>
      </c>
    </row>
    <row r="63" spans="1:20">
      <c r="A63" s="3" t="s">
        <v>37</v>
      </c>
      <c r="B63" s="4">
        <v>45689</v>
      </c>
      <c r="C63" s="3" t="s">
        <v>24</v>
      </c>
      <c r="D63" s="3" t="s">
        <v>18</v>
      </c>
      <c r="E63" s="3">
        <v>615966.48</v>
      </c>
      <c r="F63" s="3">
        <v>91509.38</v>
      </c>
      <c r="G63" s="3">
        <v>37284.660000000003</v>
      </c>
      <c r="H63" s="3">
        <v>3928</v>
      </c>
      <c r="I63" s="3">
        <v>7.3999999999999996E-2</v>
      </c>
      <c r="J63" s="3">
        <v>12</v>
      </c>
      <c r="K63" s="3">
        <f t="shared" si="0"/>
        <v>1</v>
      </c>
      <c r="L63" s="3">
        <f t="shared" si="1"/>
        <v>0</v>
      </c>
      <c r="M63" s="3">
        <f t="shared" si="2"/>
        <v>0</v>
      </c>
      <c r="N63" s="3">
        <v>86.5</v>
      </c>
      <c r="O63" s="3">
        <v>1.64</v>
      </c>
      <c r="P63" s="3">
        <v>0</v>
      </c>
      <c r="Q63" s="3">
        <v>3.8</v>
      </c>
      <c r="R63" s="3">
        <f t="shared" si="3"/>
        <v>0</v>
      </c>
      <c r="S63" s="3">
        <f t="shared" si="4"/>
        <v>1</v>
      </c>
      <c r="T63" s="3">
        <f t="shared" si="5"/>
        <v>0</v>
      </c>
    </row>
    <row r="64" spans="1:20">
      <c r="A64" s="3" t="s">
        <v>37</v>
      </c>
      <c r="B64" s="4">
        <v>45717</v>
      </c>
      <c r="C64" s="3" t="s">
        <v>24</v>
      </c>
      <c r="D64" s="3" t="s">
        <v>18</v>
      </c>
      <c r="E64" s="3">
        <v>572011.19999999995</v>
      </c>
      <c r="F64" s="3">
        <v>101409.68</v>
      </c>
      <c r="G64" s="3">
        <v>50343.19</v>
      </c>
      <c r="H64" s="3">
        <v>3845</v>
      </c>
      <c r="I64" s="3">
        <v>0.113</v>
      </c>
      <c r="J64" s="3">
        <v>9</v>
      </c>
      <c r="K64" s="3">
        <f t="shared" si="0"/>
        <v>1</v>
      </c>
      <c r="L64" s="3">
        <f t="shared" si="1"/>
        <v>0</v>
      </c>
      <c r="M64" s="3">
        <f t="shared" si="2"/>
        <v>0</v>
      </c>
      <c r="N64" s="3">
        <v>88.7</v>
      </c>
      <c r="O64" s="3">
        <v>5.15</v>
      </c>
      <c r="P64" s="3">
        <v>0</v>
      </c>
      <c r="Q64" s="3">
        <v>3.3</v>
      </c>
      <c r="R64" s="3">
        <f t="shared" si="3"/>
        <v>0</v>
      </c>
      <c r="S64" s="3">
        <f t="shared" si="4"/>
        <v>1</v>
      </c>
      <c r="T64" s="3">
        <f t="shared" si="5"/>
        <v>0</v>
      </c>
    </row>
    <row r="65" spans="1:20">
      <c r="A65" s="3" t="s">
        <v>37</v>
      </c>
      <c r="B65" s="4">
        <v>45748</v>
      </c>
      <c r="C65" s="3" t="s">
        <v>24</v>
      </c>
      <c r="D65" s="3" t="s">
        <v>18</v>
      </c>
      <c r="E65" s="3">
        <v>761860.19</v>
      </c>
      <c r="F65" s="3">
        <v>133279.38</v>
      </c>
      <c r="G65" s="3">
        <v>74954.47</v>
      </c>
      <c r="H65" s="3">
        <v>6620</v>
      </c>
      <c r="I65" s="3">
        <v>5.3999999999999999E-2</v>
      </c>
      <c r="J65" s="3">
        <v>17</v>
      </c>
      <c r="K65" s="3">
        <f t="shared" si="0"/>
        <v>1</v>
      </c>
      <c r="L65" s="3">
        <f t="shared" si="1"/>
        <v>0</v>
      </c>
      <c r="M65" s="3">
        <f t="shared" si="2"/>
        <v>0</v>
      </c>
      <c r="N65" s="3">
        <v>91.1</v>
      </c>
      <c r="O65" s="3">
        <v>1.1100000000000001</v>
      </c>
      <c r="P65" s="3">
        <v>0</v>
      </c>
      <c r="Q65" s="3">
        <v>3.5</v>
      </c>
      <c r="R65" s="3">
        <f t="shared" si="3"/>
        <v>0</v>
      </c>
      <c r="S65" s="3">
        <f t="shared" si="4"/>
        <v>1</v>
      </c>
      <c r="T65" s="3">
        <f t="shared" si="5"/>
        <v>0</v>
      </c>
    </row>
    <row r="66" spans="1:20">
      <c r="A66" s="3" t="s">
        <v>38</v>
      </c>
      <c r="B66" s="4">
        <v>45658</v>
      </c>
      <c r="C66" s="3" t="s">
        <v>27</v>
      </c>
      <c r="D66" s="3" t="s">
        <v>18</v>
      </c>
      <c r="E66" s="3">
        <v>784502.68</v>
      </c>
      <c r="F66" s="3">
        <v>129519.72</v>
      </c>
      <c r="G66" s="3">
        <v>70040.31</v>
      </c>
      <c r="H66" s="3">
        <v>9175</v>
      </c>
      <c r="I66" s="3">
        <v>0.107</v>
      </c>
      <c r="J66" s="3">
        <v>23</v>
      </c>
      <c r="K66" s="3">
        <f t="shared" si="0"/>
        <v>1</v>
      </c>
      <c r="L66" s="3">
        <f t="shared" si="1"/>
        <v>0</v>
      </c>
      <c r="M66" s="3">
        <f t="shared" si="2"/>
        <v>0</v>
      </c>
      <c r="N66" s="3">
        <v>95.1</v>
      </c>
      <c r="O66" s="3">
        <v>6.08</v>
      </c>
      <c r="P66" s="3">
        <v>1</v>
      </c>
      <c r="Q66" s="3">
        <v>3.4</v>
      </c>
      <c r="R66" s="3">
        <f t="shared" si="3"/>
        <v>0</v>
      </c>
      <c r="S66" s="3">
        <f t="shared" si="4"/>
        <v>0</v>
      </c>
      <c r="T66" s="3">
        <f t="shared" si="5"/>
        <v>1</v>
      </c>
    </row>
    <row r="67" spans="1:20">
      <c r="A67" s="3" t="s">
        <v>38</v>
      </c>
      <c r="B67" s="4">
        <v>45689</v>
      </c>
      <c r="C67" s="3" t="s">
        <v>27</v>
      </c>
      <c r="D67" s="3" t="s">
        <v>18</v>
      </c>
      <c r="E67" s="3">
        <v>717141.55</v>
      </c>
      <c r="F67" s="3">
        <v>134013.60999999999</v>
      </c>
      <c r="G67" s="3">
        <v>51148.69</v>
      </c>
      <c r="H67" s="3">
        <v>7940</v>
      </c>
      <c r="I67" s="3">
        <v>0.156</v>
      </c>
      <c r="J67" s="3">
        <v>18</v>
      </c>
      <c r="K67" s="3">
        <f t="shared" ref="K67:K130" si="6">IF($D67="High Street",1,0)</f>
        <v>1</v>
      </c>
      <c r="L67" s="3">
        <f t="shared" ref="L67:L130" si="7">IF($D67="Airport",1,0)</f>
        <v>0</v>
      </c>
      <c r="M67" s="3">
        <f t="shared" ref="M67:M130" si="8">IF($D67="Mall",1,0)</f>
        <v>0</v>
      </c>
      <c r="N67" s="3">
        <v>93.3</v>
      </c>
      <c r="O67" s="3">
        <v>10.91</v>
      </c>
      <c r="P67" s="3">
        <v>0</v>
      </c>
      <c r="Q67" s="3">
        <v>3.6</v>
      </c>
      <c r="R67" s="3">
        <f t="shared" ref="R67:R130" si="9">IF($C67="East",1,0)</f>
        <v>0</v>
      </c>
      <c r="S67" s="3">
        <f t="shared" ref="S67:S130" si="10">IF($C67="South",1,0)</f>
        <v>0</v>
      </c>
      <c r="T67" s="3">
        <f t="shared" ref="T67:T130" si="11">IF($C67="West",1,0)</f>
        <v>1</v>
      </c>
    </row>
    <row r="68" spans="1:20">
      <c r="A68" s="3" t="s">
        <v>38</v>
      </c>
      <c r="B68" s="4">
        <v>45717</v>
      </c>
      <c r="C68" s="3" t="s">
        <v>27</v>
      </c>
      <c r="D68" s="3" t="s">
        <v>18</v>
      </c>
      <c r="E68" s="3">
        <v>685379.08</v>
      </c>
      <c r="F68" s="3">
        <v>106898.82</v>
      </c>
      <c r="G68" s="3">
        <v>79346.100000000006</v>
      </c>
      <c r="H68" s="3">
        <v>9628</v>
      </c>
      <c r="I68" s="3">
        <v>0.10199999999999999</v>
      </c>
      <c r="J68" s="3">
        <v>20</v>
      </c>
      <c r="K68" s="3">
        <f t="shared" si="6"/>
        <v>1</v>
      </c>
      <c r="L68" s="3">
        <f t="shared" si="7"/>
        <v>0</v>
      </c>
      <c r="M68" s="3">
        <f t="shared" si="8"/>
        <v>0</v>
      </c>
      <c r="N68" s="3">
        <v>99</v>
      </c>
      <c r="O68" s="3">
        <v>19.010000000000002</v>
      </c>
      <c r="P68" s="3">
        <v>1</v>
      </c>
      <c r="Q68" s="3">
        <v>3.2</v>
      </c>
      <c r="R68" s="3">
        <f t="shared" si="9"/>
        <v>0</v>
      </c>
      <c r="S68" s="3">
        <f t="shared" si="10"/>
        <v>0</v>
      </c>
      <c r="T68" s="3">
        <f t="shared" si="11"/>
        <v>1</v>
      </c>
    </row>
    <row r="69" spans="1:20">
      <c r="A69" s="3" t="s">
        <v>38</v>
      </c>
      <c r="B69" s="4">
        <v>45748</v>
      </c>
      <c r="C69" s="3" t="s">
        <v>27</v>
      </c>
      <c r="D69" s="3" t="s">
        <v>18</v>
      </c>
      <c r="E69" s="3">
        <v>740496.65</v>
      </c>
      <c r="F69" s="3">
        <v>128020.9</v>
      </c>
      <c r="G69" s="3">
        <v>42018.400000000001</v>
      </c>
      <c r="H69" s="3">
        <v>8296</v>
      </c>
      <c r="I69" s="3">
        <v>0.115</v>
      </c>
      <c r="J69" s="3">
        <v>17</v>
      </c>
      <c r="K69" s="3">
        <f t="shared" si="6"/>
        <v>1</v>
      </c>
      <c r="L69" s="3">
        <f t="shared" si="7"/>
        <v>0</v>
      </c>
      <c r="M69" s="3">
        <f t="shared" si="8"/>
        <v>0</v>
      </c>
      <c r="N69" s="3">
        <v>91.8</v>
      </c>
      <c r="O69" s="3">
        <v>0.77</v>
      </c>
      <c r="P69" s="3">
        <v>0</v>
      </c>
      <c r="Q69" s="3">
        <v>3.4</v>
      </c>
      <c r="R69" s="3">
        <f t="shared" si="9"/>
        <v>0</v>
      </c>
      <c r="S69" s="3">
        <f t="shared" si="10"/>
        <v>0</v>
      </c>
      <c r="T69" s="3">
        <f t="shared" si="11"/>
        <v>1</v>
      </c>
    </row>
    <row r="70" spans="1:20">
      <c r="A70" s="3" t="s">
        <v>39</v>
      </c>
      <c r="B70" s="4">
        <v>45658</v>
      </c>
      <c r="C70" s="3" t="s">
        <v>15</v>
      </c>
      <c r="D70" s="3" t="s">
        <v>18</v>
      </c>
      <c r="E70" s="3">
        <v>661927.14</v>
      </c>
      <c r="F70" s="3">
        <v>79218.570000000007</v>
      </c>
      <c r="G70" s="3">
        <v>70937.240000000005</v>
      </c>
      <c r="H70" s="3">
        <v>3595</v>
      </c>
      <c r="I70" s="3">
        <v>0.14099999999999999</v>
      </c>
      <c r="J70" s="3">
        <v>11</v>
      </c>
      <c r="K70" s="3">
        <f t="shared" si="6"/>
        <v>1</v>
      </c>
      <c r="L70" s="3">
        <f t="shared" si="7"/>
        <v>0</v>
      </c>
      <c r="M70" s="3">
        <f t="shared" si="8"/>
        <v>0</v>
      </c>
      <c r="N70" s="3">
        <v>88.9</v>
      </c>
      <c r="O70" s="3">
        <v>2.83</v>
      </c>
      <c r="P70" s="3">
        <v>1</v>
      </c>
      <c r="Q70" s="3">
        <v>3.3</v>
      </c>
      <c r="R70" s="3">
        <f t="shared" si="9"/>
        <v>1</v>
      </c>
      <c r="S70" s="3">
        <f t="shared" si="10"/>
        <v>0</v>
      </c>
      <c r="T70" s="3">
        <f t="shared" si="11"/>
        <v>0</v>
      </c>
    </row>
    <row r="71" spans="1:20">
      <c r="A71" s="3" t="s">
        <v>39</v>
      </c>
      <c r="B71" s="4">
        <v>45689</v>
      </c>
      <c r="C71" s="3" t="s">
        <v>15</v>
      </c>
      <c r="D71" s="3" t="s">
        <v>18</v>
      </c>
      <c r="E71" s="3">
        <v>479050.5</v>
      </c>
      <c r="F71" s="3">
        <v>53651.11</v>
      </c>
      <c r="G71" s="3">
        <v>36813.449999999997</v>
      </c>
      <c r="H71" s="3">
        <v>2834</v>
      </c>
      <c r="I71" s="3">
        <v>0.191</v>
      </c>
      <c r="J71" s="3">
        <v>11</v>
      </c>
      <c r="K71" s="3">
        <f t="shared" si="6"/>
        <v>1</v>
      </c>
      <c r="L71" s="3">
        <f t="shared" si="7"/>
        <v>0</v>
      </c>
      <c r="M71" s="3">
        <f t="shared" si="8"/>
        <v>0</v>
      </c>
      <c r="N71" s="3">
        <v>81.8</v>
      </c>
      <c r="O71" s="3">
        <v>2.33</v>
      </c>
      <c r="P71" s="3">
        <v>0</v>
      </c>
      <c r="Q71" s="3">
        <v>3.3</v>
      </c>
      <c r="R71" s="3">
        <f t="shared" si="9"/>
        <v>1</v>
      </c>
      <c r="S71" s="3">
        <f t="shared" si="10"/>
        <v>0</v>
      </c>
      <c r="T71" s="3">
        <f t="shared" si="11"/>
        <v>0</v>
      </c>
    </row>
    <row r="72" spans="1:20">
      <c r="A72" s="3" t="s">
        <v>39</v>
      </c>
      <c r="B72" s="4">
        <v>45717</v>
      </c>
      <c r="C72" s="3" t="s">
        <v>15</v>
      </c>
      <c r="D72" s="3" t="s">
        <v>18</v>
      </c>
      <c r="E72" s="3">
        <v>605023.87</v>
      </c>
      <c r="F72" s="3">
        <v>98545.81</v>
      </c>
      <c r="G72" s="3">
        <v>60571.82</v>
      </c>
      <c r="H72" s="3">
        <v>3193</v>
      </c>
      <c r="I72" s="3">
        <v>0.19700000000000001</v>
      </c>
      <c r="J72" s="3">
        <v>7</v>
      </c>
      <c r="K72" s="3">
        <f t="shared" si="6"/>
        <v>1</v>
      </c>
      <c r="L72" s="3">
        <f t="shared" si="7"/>
        <v>0</v>
      </c>
      <c r="M72" s="3">
        <f t="shared" si="8"/>
        <v>0</v>
      </c>
      <c r="N72" s="3">
        <v>99</v>
      </c>
      <c r="O72" s="3">
        <v>1.43</v>
      </c>
      <c r="P72" s="3">
        <v>0</v>
      </c>
      <c r="Q72" s="3">
        <v>3.2</v>
      </c>
      <c r="R72" s="3">
        <f t="shared" si="9"/>
        <v>1</v>
      </c>
      <c r="S72" s="3">
        <f t="shared" si="10"/>
        <v>0</v>
      </c>
      <c r="T72" s="3">
        <f t="shared" si="11"/>
        <v>0</v>
      </c>
    </row>
    <row r="73" spans="1:20">
      <c r="A73" s="3" t="s">
        <v>39</v>
      </c>
      <c r="B73" s="4">
        <v>45748</v>
      </c>
      <c r="C73" s="3" t="s">
        <v>15</v>
      </c>
      <c r="D73" s="3" t="s">
        <v>18</v>
      </c>
      <c r="E73" s="3">
        <v>674774.09</v>
      </c>
      <c r="F73" s="3">
        <v>141917.59</v>
      </c>
      <c r="G73" s="3">
        <v>55081.16</v>
      </c>
      <c r="H73" s="3">
        <v>5485</v>
      </c>
      <c r="I73" s="3">
        <v>3.5999999999999997E-2</v>
      </c>
      <c r="J73" s="3">
        <v>12</v>
      </c>
      <c r="K73" s="3">
        <f t="shared" si="6"/>
        <v>1</v>
      </c>
      <c r="L73" s="3">
        <f t="shared" si="7"/>
        <v>0</v>
      </c>
      <c r="M73" s="3">
        <f t="shared" si="8"/>
        <v>0</v>
      </c>
      <c r="N73" s="3">
        <v>88</v>
      </c>
      <c r="O73" s="5">
        <v>4.5599999999999996</v>
      </c>
      <c r="P73" s="3">
        <v>0</v>
      </c>
      <c r="Q73" s="3">
        <v>3.5</v>
      </c>
      <c r="R73" s="3">
        <f t="shared" si="9"/>
        <v>1</v>
      </c>
      <c r="S73" s="3">
        <f t="shared" si="10"/>
        <v>0</v>
      </c>
      <c r="T73" s="3">
        <f t="shared" si="11"/>
        <v>0</v>
      </c>
    </row>
    <row r="74" spans="1:20">
      <c r="A74" s="3" t="s">
        <v>40</v>
      </c>
      <c r="B74" s="4">
        <v>45658</v>
      </c>
      <c r="C74" s="3" t="s">
        <v>15</v>
      </c>
      <c r="D74" s="3" t="s">
        <v>16</v>
      </c>
      <c r="E74" s="3">
        <v>616069.41</v>
      </c>
      <c r="F74" s="3">
        <v>54453.99</v>
      </c>
      <c r="G74" s="3">
        <v>46201.46</v>
      </c>
      <c r="H74" s="3">
        <v>5918</v>
      </c>
      <c r="I74" s="3">
        <v>0.27700000000000002</v>
      </c>
      <c r="J74" s="3">
        <v>13</v>
      </c>
      <c r="K74" s="3">
        <f t="shared" si="6"/>
        <v>0</v>
      </c>
      <c r="L74" s="3">
        <f t="shared" si="7"/>
        <v>0</v>
      </c>
      <c r="M74" s="3">
        <f t="shared" si="8"/>
        <v>0</v>
      </c>
      <c r="N74" s="3">
        <v>78.8</v>
      </c>
      <c r="O74" s="3">
        <v>4.91</v>
      </c>
      <c r="P74" s="3">
        <v>0</v>
      </c>
      <c r="Q74" s="3">
        <v>4.5</v>
      </c>
      <c r="R74" s="3">
        <f t="shared" si="9"/>
        <v>1</v>
      </c>
      <c r="S74" s="3">
        <f t="shared" si="10"/>
        <v>0</v>
      </c>
      <c r="T74" s="3">
        <f t="shared" si="11"/>
        <v>0</v>
      </c>
    </row>
    <row r="75" spans="1:20">
      <c r="A75" s="3" t="s">
        <v>40</v>
      </c>
      <c r="B75" s="4">
        <v>45689</v>
      </c>
      <c r="C75" s="3" t="s">
        <v>15</v>
      </c>
      <c r="D75" s="3" t="s">
        <v>16</v>
      </c>
      <c r="E75" s="3">
        <v>630829.93999999994</v>
      </c>
      <c r="F75" s="3">
        <v>117090.02</v>
      </c>
      <c r="G75" s="3">
        <v>53762.92</v>
      </c>
      <c r="H75" s="3">
        <v>6821</v>
      </c>
      <c r="I75" s="3">
        <v>6.6000000000000003E-2</v>
      </c>
      <c r="J75" s="3">
        <v>19</v>
      </c>
      <c r="K75" s="3">
        <f t="shared" si="6"/>
        <v>0</v>
      </c>
      <c r="L75" s="3">
        <f t="shared" si="7"/>
        <v>0</v>
      </c>
      <c r="M75" s="3">
        <f t="shared" si="8"/>
        <v>0</v>
      </c>
      <c r="N75" s="3">
        <v>94.6</v>
      </c>
      <c r="O75" s="3">
        <v>7.03</v>
      </c>
      <c r="P75" s="3">
        <v>0</v>
      </c>
      <c r="Q75" s="3">
        <v>4.4000000000000004</v>
      </c>
      <c r="R75" s="3">
        <f t="shared" si="9"/>
        <v>1</v>
      </c>
      <c r="S75" s="3">
        <f t="shared" si="10"/>
        <v>0</v>
      </c>
      <c r="T75" s="3">
        <f t="shared" si="11"/>
        <v>0</v>
      </c>
    </row>
    <row r="76" spans="1:20">
      <c r="A76" s="3" t="s">
        <v>40</v>
      </c>
      <c r="B76" s="4">
        <v>45717</v>
      </c>
      <c r="C76" s="3" t="s">
        <v>15</v>
      </c>
      <c r="D76" s="3" t="s">
        <v>16</v>
      </c>
      <c r="E76" s="3">
        <v>788087.68</v>
      </c>
      <c r="F76" s="3">
        <v>116803.42</v>
      </c>
      <c r="G76" s="3">
        <v>70144.78</v>
      </c>
      <c r="H76" s="3">
        <v>6806</v>
      </c>
      <c r="I76" s="3">
        <v>0.17799999999999999</v>
      </c>
      <c r="J76" s="3">
        <v>20</v>
      </c>
      <c r="K76" s="3">
        <f t="shared" si="6"/>
        <v>0</v>
      </c>
      <c r="L76" s="3">
        <f t="shared" si="7"/>
        <v>0</v>
      </c>
      <c r="M76" s="3">
        <f t="shared" si="8"/>
        <v>0</v>
      </c>
      <c r="N76" s="3">
        <v>93.1</v>
      </c>
      <c r="O76" s="3">
        <v>0.28000000000000003</v>
      </c>
      <c r="P76" s="3">
        <v>1</v>
      </c>
      <c r="Q76" s="3">
        <v>4.3</v>
      </c>
      <c r="R76" s="3">
        <f t="shared" si="9"/>
        <v>1</v>
      </c>
      <c r="S76" s="3">
        <f t="shared" si="10"/>
        <v>0</v>
      </c>
      <c r="T76" s="3">
        <f t="shared" si="11"/>
        <v>0</v>
      </c>
    </row>
    <row r="77" spans="1:20">
      <c r="A77" s="3" t="s">
        <v>40</v>
      </c>
      <c r="B77" s="4">
        <v>45748</v>
      </c>
      <c r="C77" s="3" t="s">
        <v>15</v>
      </c>
      <c r="D77" s="3" t="s">
        <v>16</v>
      </c>
      <c r="E77" s="3">
        <v>680840.36</v>
      </c>
      <c r="F77" s="3">
        <v>68007.679999999993</v>
      </c>
      <c r="G77" s="3">
        <v>58749.63</v>
      </c>
      <c r="H77" s="3">
        <v>8252</v>
      </c>
      <c r="I77" s="3">
        <v>0.20300000000000001</v>
      </c>
      <c r="J77" s="3">
        <v>20</v>
      </c>
      <c r="K77" s="3">
        <f t="shared" si="6"/>
        <v>0</v>
      </c>
      <c r="L77" s="3">
        <f t="shared" si="7"/>
        <v>0</v>
      </c>
      <c r="M77" s="3">
        <f t="shared" si="8"/>
        <v>0</v>
      </c>
      <c r="N77" s="3">
        <v>85.2</v>
      </c>
      <c r="O77" s="3">
        <v>3.61</v>
      </c>
      <c r="P77" s="3">
        <v>0</v>
      </c>
      <c r="Q77" s="3">
        <v>4.5</v>
      </c>
      <c r="R77" s="3">
        <f t="shared" si="9"/>
        <v>1</v>
      </c>
      <c r="S77" s="3">
        <f t="shared" si="10"/>
        <v>0</v>
      </c>
      <c r="T77" s="3">
        <f t="shared" si="11"/>
        <v>0</v>
      </c>
    </row>
    <row r="78" spans="1:20">
      <c r="A78" s="3" t="s">
        <v>41</v>
      </c>
      <c r="B78" s="4">
        <v>45658</v>
      </c>
      <c r="C78" s="3" t="s">
        <v>24</v>
      </c>
      <c r="D78" s="3" t="s">
        <v>18</v>
      </c>
      <c r="E78" s="3">
        <v>643657.47</v>
      </c>
      <c r="F78" s="3">
        <v>87022.45</v>
      </c>
      <c r="G78" s="3">
        <v>56973.18</v>
      </c>
      <c r="H78" s="3">
        <v>6662</v>
      </c>
      <c r="I78" s="3">
        <v>0.1</v>
      </c>
      <c r="J78" s="3">
        <v>15</v>
      </c>
      <c r="K78" s="3">
        <f t="shared" si="6"/>
        <v>1</v>
      </c>
      <c r="L78" s="3">
        <f t="shared" si="7"/>
        <v>0</v>
      </c>
      <c r="M78" s="3">
        <f t="shared" si="8"/>
        <v>0</v>
      </c>
      <c r="N78" s="3">
        <v>77.7</v>
      </c>
      <c r="O78" s="3">
        <v>7.52</v>
      </c>
      <c r="P78" s="3">
        <v>1</v>
      </c>
      <c r="Q78" s="3">
        <v>3.2</v>
      </c>
      <c r="R78" s="3">
        <f t="shared" si="9"/>
        <v>0</v>
      </c>
      <c r="S78" s="3">
        <f t="shared" si="10"/>
        <v>1</v>
      </c>
      <c r="T78" s="3">
        <f t="shared" si="11"/>
        <v>0</v>
      </c>
    </row>
    <row r="79" spans="1:20">
      <c r="A79" s="3" t="s">
        <v>41</v>
      </c>
      <c r="B79" s="4">
        <v>45689</v>
      </c>
      <c r="C79" s="3" t="s">
        <v>24</v>
      </c>
      <c r="D79" s="3" t="s">
        <v>18</v>
      </c>
      <c r="E79" s="3">
        <v>691112.6</v>
      </c>
      <c r="F79" s="3">
        <v>109212.83</v>
      </c>
      <c r="G79" s="3">
        <v>54872.82</v>
      </c>
      <c r="H79" s="3">
        <v>5962</v>
      </c>
      <c r="I79" s="3">
        <v>6.4000000000000001E-2</v>
      </c>
      <c r="J79" s="3">
        <v>12</v>
      </c>
      <c r="K79" s="3">
        <f t="shared" si="6"/>
        <v>1</v>
      </c>
      <c r="L79" s="3">
        <f t="shared" si="7"/>
        <v>0</v>
      </c>
      <c r="M79" s="3">
        <f t="shared" si="8"/>
        <v>0</v>
      </c>
      <c r="N79" s="3">
        <v>85.4</v>
      </c>
      <c r="O79" s="3">
        <v>2.58</v>
      </c>
      <c r="P79" s="3">
        <v>0</v>
      </c>
      <c r="Q79" s="3">
        <v>2.9</v>
      </c>
      <c r="R79" s="3">
        <f t="shared" si="9"/>
        <v>0</v>
      </c>
      <c r="S79" s="3">
        <f t="shared" si="10"/>
        <v>1</v>
      </c>
      <c r="T79" s="3">
        <f t="shared" si="11"/>
        <v>0</v>
      </c>
    </row>
    <row r="80" spans="1:20">
      <c r="A80" s="3" t="s">
        <v>41</v>
      </c>
      <c r="B80" s="4">
        <v>45717</v>
      </c>
      <c r="C80" s="3" t="s">
        <v>24</v>
      </c>
      <c r="D80" s="3" t="s">
        <v>18</v>
      </c>
      <c r="E80" s="3">
        <v>776922.17</v>
      </c>
      <c r="F80" s="3">
        <v>150701.93</v>
      </c>
      <c r="G80" s="3">
        <v>80562.81</v>
      </c>
      <c r="H80" s="3">
        <v>7470</v>
      </c>
      <c r="I80" s="3">
        <v>0.17199999999999999</v>
      </c>
      <c r="J80" s="3">
        <v>16</v>
      </c>
      <c r="K80" s="3">
        <f t="shared" si="6"/>
        <v>1</v>
      </c>
      <c r="L80" s="3">
        <f t="shared" si="7"/>
        <v>0</v>
      </c>
      <c r="M80" s="3">
        <f t="shared" si="8"/>
        <v>0</v>
      </c>
      <c r="N80" s="3">
        <v>83.5</v>
      </c>
      <c r="O80" s="3">
        <v>2.29</v>
      </c>
      <c r="P80" s="3">
        <v>0</v>
      </c>
      <c r="Q80" s="3">
        <v>3.3</v>
      </c>
      <c r="R80" s="3">
        <f t="shared" si="9"/>
        <v>0</v>
      </c>
      <c r="S80" s="3">
        <f t="shared" si="10"/>
        <v>1</v>
      </c>
      <c r="T80" s="3">
        <f t="shared" si="11"/>
        <v>0</v>
      </c>
    </row>
    <row r="81" spans="1:20">
      <c r="A81" s="3" t="s">
        <v>41</v>
      </c>
      <c r="B81" s="4">
        <v>45748</v>
      </c>
      <c r="C81" s="3" t="s">
        <v>24</v>
      </c>
      <c r="D81" s="3" t="s">
        <v>18</v>
      </c>
      <c r="E81" s="3">
        <v>636561.34</v>
      </c>
      <c r="F81" s="3">
        <v>93861.06</v>
      </c>
      <c r="G81" s="3">
        <v>77999.899999999994</v>
      </c>
      <c r="H81" s="3">
        <v>5974</v>
      </c>
      <c r="I81" s="3">
        <v>0.252</v>
      </c>
      <c r="J81" s="3">
        <v>14</v>
      </c>
      <c r="K81" s="3">
        <f t="shared" si="6"/>
        <v>1</v>
      </c>
      <c r="L81" s="3">
        <f t="shared" si="7"/>
        <v>0</v>
      </c>
      <c r="M81" s="3">
        <f t="shared" si="8"/>
        <v>0</v>
      </c>
      <c r="N81" s="3">
        <v>81.3</v>
      </c>
      <c r="O81" s="3">
        <v>2.39</v>
      </c>
      <c r="P81" s="3">
        <v>0</v>
      </c>
      <c r="Q81" s="3">
        <v>3.2</v>
      </c>
      <c r="R81" s="3">
        <f t="shared" si="9"/>
        <v>0</v>
      </c>
      <c r="S81" s="3">
        <f t="shared" si="10"/>
        <v>1</v>
      </c>
      <c r="T81" s="3">
        <f t="shared" si="11"/>
        <v>0</v>
      </c>
    </row>
    <row r="82" spans="1:20">
      <c r="A82" s="3" t="s">
        <v>42</v>
      </c>
      <c r="B82" s="4">
        <v>45658</v>
      </c>
      <c r="C82" s="3" t="s">
        <v>27</v>
      </c>
      <c r="D82" s="3" t="s">
        <v>28</v>
      </c>
      <c r="E82" s="3">
        <v>621369.57999999996</v>
      </c>
      <c r="F82" s="3">
        <v>85493.64</v>
      </c>
      <c r="G82" s="3">
        <v>60881.01</v>
      </c>
      <c r="H82" s="3">
        <v>5410</v>
      </c>
      <c r="I82" s="3">
        <v>0.17899999999999999</v>
      </c>
      <c r="J82" s="3">
        <v>15</v>
      </c>
      <c r="K82" s="3">
        <f t="shared" si="6"/>
        <v>0</v>
      </c>
      <c r="L82" s="3">
        <f t="shared" si="7"/>
        <v>0</v>
      </c>
      <c r="M82" s="3">
        <f t="shared" si="8"/>
        <v>1</v>
      </c>
      <c r="N82" s="3">
        <v>83.9</v>
      </c>
      <c r="O82" s="3">
        <v>5.24</v>
      </c>
      <c r="P82" s="3">
        <v>0</v>
      </c>
      <c r="Q82" s="3">
        <v>4.5999999999999996</v>
      </c>
      <c r="R82" s="3">
        <f t="shared" si="9"/>
        <v>0</v>
      </c>
      <c r="S82" s="3">
        <f t="shared" si="10"/>
        <v>0</v>
      </c>
      <c r="T82" s="3">
        <f t="shared" si="11"/>
        <v>1</v>
      </c>
    </row>
    <row r="83" spans="1:20">
      <c r="A83" s="3" t="s">
        <v>42</v>
      </c>
      <c r="B83" s="4">
        <v>45689</v>
      </c>
      <c r="C83" s="3" t="s">
        <v>27</v>
      </c>
      <c r="D83" s="3" t="s">
        <v>28</v>
      </c>
      <c r="E83" s="3">
        <v>682208.01</v>
      </c>
      <c r="F83" s="3">
        <v>110318.84</v>
      </c>
      <c r="G83" s="3">
        <v>60628.38</v>
      </c>
      <c r="H83" s="3">
        <v>4451</v>
      </c>
      <c r="I83" s="3">
        <v>9.5000000000000001E-2</v>
      </c>
      <c r="J83" s="3">
        <v>10</v>
      </c>
      <c r="K83" s="3">
        <f t="shared" si="6"/>
        <v>0</v>
      </c>
      <c r="L83" s="3">
        <f t="shared" si="7"/>
        <v>0</v>
      </c>
      <c r="M83" s="3">
        <f t="shared" si="8"/>
        <v>1</v>
      </c>
      <c r="N83" s="3">
        <v>89.6</v>
      </c>
      <c r="O83" s="3">
        <v>3.17</v>
      </c>
      <c r="P83" s="3">
        <v>0</v>
      </c>
      <c r="Q83" s="3">
        <v>4.5999999999999996</v>
      </c>
      <c r="R83" s="3">
        <f t="shared" si="9"/>
        <v>0</v>
      </c>
      <c r="S83" s="3">
        <f t="shared" si="10"/>
        <v>0</v>
      </c>
      <c r="T83" s="3">
        <f t="shared" si="11"/>
        <v>1</v>
      </c>
    </row>
    <row r="84" spans="1:20">
      <c r="A84" s="3" t="s">
        <v>42</v>
      </c>
      <c r="B84" s="4">
        <v>45717</v>
      </c>
      <c r="C84" s="3" t="s">
        <v>27</v>
      </c>
      <c r="D84" s="3" t="s">
        <v>28</v>
      </c>
      <c r="E84" s="3">
        <v>727241.86</v>
      </c>
      <c r="F84" s="3">
        <v>155810.29999999999</v>
      </c>
      <c r="G84" s="3">
        <v>72731.14</v>
      </c>
      <c r="H84" s="3">
        <v>4644</v>
      </c>
      <c r="I84" s="3">
        <v>8.4000000000000005E-2</v>
      </c>
      <c r="J84" s="3">
        <v>15</v>
      </c>
      <c r="K84" s="3">
        <f t="shared" si="6"/>
        <v>0</v>
      </c>
      <c r="L84" s="3">
        <f t="shared" si="7"/>
        <v>0</v>
      </c>
      <c r="M84" s="3">
        <f t="shared" si="8"/>
        <v>1</v>
      </c>
      <c r="N84" s="3">
        <v>87.1</v>
      </c>
      <c r="O84" s="3">
        <v>2.66</v>
      </c>
      <c r="P84" s="3">
        <v>0</v>
      </c>
      <c r="Q84" s="3">
        <v>4.5999999999999996</v>
      </c>
      <c r="R84" s="3">
        <f t="shared" si="9"/>
        <v>0</v>
      </c>
      <c r="S84" s="3">
        <f t="shared" si="10"/>
        <v>0</v>
      </c>
      <c r="T84" s="3">
        <f t="shared" si="11"/>
        <v>1</v>
      </c>
    </row>
    <row r="85" spans="1:20">
      <c r="A85" s="3" t="s">
        <v>42</v>
      </c>
      <c r="B85" s="4">
        <v>45748</v>
      </c>
      <c r="C85" s="3" t="s">
        <v>27</v>
      </c>
      <c r="D85" s="3" t="s">
        <v>28</v>
      </c>
      <c r="E85" s="3">
        <v>569100.78</v>
      </c>
      <c r="F85" s="3">
        <v>104808.78</v>
      </c>
      <c r="G85" s="3">
        <v>36475.71</v>
      </c>
      <c r="H85" s="3">
        <v>3559</v>
      </c>
      <c r="I85" s="3">
        <v>0.03</v>
      </c>
      <c r="J85" s="3">
        <v>8</v>
      </c>
      <c r="K85" s="3">
        <f t="shared" si="6"/>
        <v>0</v>
      </c>
      <c r="L85" s="3">
        <f t="shared" si="7"/>
        <v>0</v>
      </c>
      <c r="M85" s="3">
        <f t="shared" si="8"/>
        <v>1</v>
      </c>
      <c r="N85" s="3">
        <v>83.6</v>
      </c>
      <c r="O85" s="3">
        <v>1.41</v>
      </c>
      <c r="P85" s="3">
        <v>0</v>
      </c>
      <c r="Q85" s="3">
        <v>4.2</v>
      </c>
      <c r="R85" s="3">
        <f t="shared" si="9"/>
        <v>0</v>
      </c>
      <c r="S85" s="3">
        <f t="shared" si="10"/>
        <v>0</v>
      </c>
      <c r="T85" s="3">
        <f t="shared" si="11"/>
        <v>1</v>
      </c>
    </row>
    <row r="86" spans="1:20">
      <c r="A86" s="3" t="s">
        <v>43</v>
      </c>
      <c r="B86" s="4">
        <v>45658</v>
      </c>
      <c r="C86" s="3" t="s">
        <v>27</v>
      </c>
      <c r="D86" s="3" t="s">
        <v>18</v>
      </c>
      <c r="E86" s="3">
        <v>574436.29</v>
      </c>
      <c r="F86" s="3">
        <v>80271.990000000005</v>
      </c>
      <c r="G86" s="3">
        <v>55388.11</v>
      </c>
      <c r="H86" s="3">
        <v>3091</v>
      </c>
      <c r="I86" s="3">
        <v>0.108</v>
      </c>
      <c r="J86" s="3">
        <v>7</v>
      </c>
      <c r="K86" s="3">
        <f t="shared" si="6"/>
        <v>1</v>
      </c>
      <c r="L86" s="3">
        <f t="shared" si="7"/>
        <v>0</v>
      </c>
      <c r="M86" s="3">
        <f t="shared" si="8"/>
        <v>0</v>
      </c>
      <c r="N86" s="3">
        <v>85.4</v>
      </c>
      <c r="O86" s="3">
        <v>7.34</v>
      </c>
      <c r="P86" s="3">
        <v>0</v>
      </c>
      <c r="Q86" s="3">
        <v>4.9000000000000004</v>
      </c>
      <c r="R86" s="3">
        <f t="shared" si="9"/>
        <v>0</v>
      </c>
      <c r="S86" s="3">
        <f t="shared" si="10"/>
        <v>0</v>
      </c>
      <c r="T86" s="3">
        <f t="shared" si="11"/>
        <v>1</v>
      </c>
    </row>
    <row r="87" spans="1:20">
      <c r="A87" s="3" t="s">
        <v>43</v>
      </c>
      <c r="B87" s="4">
        <v>45689</v>
      </c>
      <c r="C87" s="3" t="s">
        <v>27</v>
      </c>
      <c r="D87" s="3" t="s">
        <v>18</v>
      </c>
      <c r="E87" s="3">
        <v>611766.72</v>
      </c>
      <c r="F87" s="3">
        <v>88275.61</v>
      </c>
      <c r="G87" s="3">
        <v>88443.77</v>
      </c>
      <c r="H87" s="3">
        <v>4004</v>
      </c>
      <c r="I87" s="3">
        <v>0.20599999999999999</v>
      </c>
      <c r="J87" s="3">
        <v>11</v>
      </c>
      <c r="K87" s="3">
        <f t="shared" si="6"/>
        <v>1</v>
      </c>
      <c r="L87" s="3">
        <f t="shared" si="7"/>
        <v>0</v>
      </c>
      <c r="M87" s="3">
        <f t="shared" si="8"/>
        <v>0</v>
      </c>
      <c r="N87" s="3">
        <v>91.9</v>
      </c>
      <c r="O87" s="3">
        <v>5.95</v>
      </c>
      <c r="P87" s="3">
        <v>0</v>
      </c>
      <c r="Q87" s="5">
        <v>3.9</v>
      </c>
      <c r="R87" s="3">
        <f t="shared" si="9"/>
        <v>0</v>
      </c>
      <c r="S87" s="3">
        <f t="shared" si="10"/>
        <v>0</v>
      </c>
      <c r="T87" s="3">
        <f t="shared" si="11"/>
        <v>1</v>
      </c>
    </row>
    <row r="88" spans="1:20">
      <c r="A88" s="3" t="s">
        <v>43</v>
      </c>
      <c r="B88" s="4">
        <v>45717</v>
      </c>
      <c r="C88" s="3" t="s">
        <v>27</v>
      </c>
      <c r="D88" s="3" t="s">
        <v>18</v>
      </c>
      <c r="E88" s="3">
        <v>614596.31999999995</v>
      </c>
      <c r="F88" s="3">
        <v>131199.41</v>
      </c>
      <c r="G88" s="3">
        <v>78231.91</v>
      </c>
      <c r="H88" s="3">
        <v>3788</v>
      </c>
      <c r="I88" s="3">
        <v>5.8999999999999997E-2</v>
      </c>
      <c r="J88" s="3">
        <v>11</v>
      </c>
      <c r="K88" s="3">
        <f t="shared" si="6"/>
        <v>1</v>
      </c>
      <c r="L88" s="3">
        <f t="shared" si="7"/>
        <v>0</v>
      </c>
      <c r="M88" s="3">
        <f t="shared" si="8"/>
        <v>0</v>
      </c>
      <c r="N88" s="3">
        <v>88.5</v>
      </c>
      <c r="O88" s="3">
        <v>15.51</v>
      </c>
      <c r="P88" s="3">
        <v>0</v>
      </c>
      <c r="Q88" s="3">
        <v>4.3</v>
      </c>
      <c r="R88" s="3">
        <f t="shared" si="9"/>
        <v>0</v>
      </c>
      <c r="S88" s="3">
        <f t="shared" si="10"/>
        <v>0</v>
      </c>
      <c r="T88" s="3">
        <f t="shared" si="11"/>
        <v>1</v>
      </c>
    </row>
    <row r="89" spans="1:20">
      <c r="A89" s="3" t="s">
        <v>43</v>
      </c>
      <c r="B89" s="4">
        <v>45748</v>
      </c>
      <c r="C89" s="3" t="s">
        <v>27</v>
      </c>
      <c r="D89" s="3" t="s">
        <v>18</v>
      </c>
      <c r="E89" s="3">
        <v>450711.92</v>
      </c>
      <c r="F89" s="3">
        <v>90043.76</v>
      </c>
      <c r="G89" s="3">
        <v>18996.32</v>
      </c>
      <c r="H89" s="3">
        <v>1260</v>
      </c>
      <c r="I89" s="3">
        <v>0.14499999999999999</v>
      </c>
      <c r="J89" s="3">
        <v>9</v>
      </c>
      <c r="K89" s="3">
        <f t="shared" si="6"/>
        <v>1</v>
      </c>
      <c r="L89" s="3">
        <f t="shared" si="7"/>
        <v>0</v>
      </c>
      <c r="M89" s="3">
        <f t="shared" si="8"/>
        <v>0</v>
      </c>
      <c r="N89" s="3">
        <v>86.4</v>
      </c>
      <c r="O89" s="3">
        <v>4.3099999999999996</v>
      </c>
      <c r="P89" s="3">
        <v>0</v>
      </c>
      <c r="Q89" s="3">
        <v>4.5999999999999996</v>
      </c>
      <c r="R89" s="3">
        <f t="shared" si="9"/>
        <v>0</v>
      </c>
      <c r="S89" s="3">
        <f t="shared" si="10"/>
        <v>0</v>
      </c>
      <c r="T89" s="3">
        <f t="shared" si="11"/>
        <v>1</v>
      </c>
    </row>
    <row r="90" spans="1:20">
      <c r="A90" s="3" t="s">
        <v>44</v>
      </c>
      <c r="B90" s="4">
        <v>45658</v>
      </c>
      <c r="C90" s="3" t="s">
        <v>24</v>
      </c>
      <c r="D90" s="3" t="s">
        <v>28</v>
      </c>
      <c r="E90" s="3">
        <v>711213.46</v>
      </c>
      <c r="F90" s="3">
        <v>105863.26</v>
      </c>
      <c r="G90" s="3">
        <v>50517.94</v>
      </c>
      <c r="H90" s="3">
        <v>7024</v>
      </c>
      <c r="I90" s="3">
        <v>2.9000000000000001E-2</v>
      </c>
      <c r="J90" s="3">
        <v>18</v>
      </c>
      <c r="K90" s="3">
        <f t="shared" si="6"/>
        <v>0</v>
      </c>
      <c r="L90" s="3">
        <f t="shared" si="7"/>
        <v>0</v>
      </c>
      <c r="M90" s="3">
        <f t="shared" si="8"/>
        <v>1</v>
      </c>
      <c r="N90" s="3">
        <v>79.2</v>
      </c>
      <c r="O90" s="3">
        <v>6.61</v>
      </c>
      <c r="P90" s="3">
        <v>1</v>
      </c>
      <c r="Q90" s="3">
        <v>4.0999999999999996</v>
      </c>
      <c r="R90" s="3">
        <f t="shared" si="9"/>
        <v>0</v>
      </c>
      <c r="S90" s="3">
        <f t="shared" si="10"/>
        <v>1</v>
      </c>
      <c r="T90" s="3">
        <f t="shared" si="11"/>
        <v>0</v>
      </c>
    </row>
    <row r="91" spans="1:20">
      <c r="A91" s="3" t="s">
        <v>44</v>
      </c>
      <c r="B91" s="4">
        <v>45689</v>
      </c>
      <c r="C91" s="3" t="s">
        <v>24</v>
      </c>
      <c r="D91" s="3" t="s">
        <v>28</v>
      </c>
      <c r="E91" s="3">
        <v>627171.9</v>
      </c>
      <c r="F91" s="3">
        <v>105772.75</v>
      </c>
      <c r="G91" s="3">
        <v>141540.29</v>
      </c>
      <c r="H91" s="3">
        <v>5400</v>
      </c>
      <c r="I91" s="3">
        <v>1.2999999999999999E-2</v>
      </c>
      <c r="J91" s="3">
        <v>12</v>
      </c>
      <c r="K91" s="3">
        <f t="shared" si="6"/>
        <v>0</v>
      </c>
      <c r="L91" s="3">
        <f t="shared" si="7"/>
        <v>0</v>
      </c>
      <c r="M91" s="3">
        <f t="shared" si="8"/>
        <v>1</v>
      </c>
      <c r="N91" s="3">
        <v>87</v>
      </c>
      <c r="O91" s="3">
        <v>4.26</v>
      </c>
      <c r="P91" s="3">
        <v>0</v>
      </c>
      <c r="Q91" s="3">
        <v>4.5</v>
      </c>
      <c r="R91" s="3">
        <f t="shared" si="9"/>
        <v>0</v>
      </c>
      <c r="S91" s="3">
        <f t="shared" si="10"/>
        <v>1</v>
      </c>
      <c r="T91" s="3">
        <f t="shared" si="11"/>
        <v>0</v>
      </c>
    </row>
    <row r="92" spans="1:20">
      <c r="A92" s="3" t="s">
        <v>44</v>
      </c>
      <c r="B92" s="4">
        <v>45717</v>
      </c>
      <c r="C92" s="3" t="s">
        <v>24</v>
      </c>
      <c r="D92" s="3" t="s">
        <v>28</v>
      </c>
      <c r="E92" s="3">
        <v>739852.58</v>
      </c>
      <c r="F92" s="3">
        <v>129386.43</v>
      </c>
      <c r="G92" s="3">
        <v>82116.19</v>
      </c>
      <c r="H92" s="3">
        <v>5988</v>
      </c>
      <c r="I92" s="3">
        <v>0.04</v>
      </c>
      <c r="J92" s="3">
        <v>17</v>
      </c>
      <c r="K92" s="3">
        <f t="shared" si="6"/>
        <v>0</v>
      </c>
      <c r="L92" s="3">
        <f t="shared" si="7"/>
        <v>0</v>
      </c>
      <c r="M92" s="3">
        <f t="shared" si="8"/>
        <v>1</v>
      </c>
      <c r="N92" s="3">
        <v>91.8</v>
      </c>
      <c r="O92" s="3">
        <v>5.75</v>
      </c>
      <c r="P92" s="3">
        <v>0</v>
      </c>
      <c r="Q92" s="3">
        <v>4.7</v>
      </c>
      <c r="R92" s="3">
        <f t="shared" si="9"/>
        <v>0</v>
      </c>
      <c r="S92" s="3">
        <f t="shared" si="10"/>
        <v>1</v>
      </c>
      <c r="T92" s="3">
        <f t="shared" si="11"/>
        <v>0</v>
      </c>
    </row>
    <row r="93" spans="1:20">
      <c r="A93" s="3" t="s">
        <v>44</v>
      </c>
      <c r="B93" s="4">
        <v>45748</v>
      </c>
      <c r="C93" s="3" t="s">
        <v>24</v>
      </c>
      <c r="D93" s="3" t="s">
        <v>28</v>
      </c>
      <c r="E93" s="3">
        <v>586307.22</v>
      </c>
      <c r="F93" s="3">
        <v>73927.850000000006</v>
      </c>
      <c r="G93" s="3">
        <v>31207.51</v>
      </c>
      <c r="H93" s="3">
        <v>3701</v>
      </c>
      <c r="I93" s="3">
        <v>4.2999999999999997E-2</v>
      </c>
      <c r="J93" s="3">
        <v>11</v>
      </c>
      <c r="K93" s="3">
        <f t="shared" si="6"/>
        <v>0</v>
      </c>
      <c r="L93" s="3">
        <f t="shared" si="7"/>
        <v>0</v>
      </c>
      <c r="M93" s="3">
        <f t="shared" si="8"/>
        <v>1</v>
      </c>
      <c r="N93" s="3">
        <v>84.7</v>
      </c>
      <c r="O93" s="3">
        <v>0.33</v>
      </c>
      <c r="P93" s="3">
        <v>0</v>
      </c>
      <c r="Q93" s="3">
        <v>4.3</v>
      </c>
      <c r="R93" s="3">
        <f t="shared" si="9"/>
        <v>0</v>
      </c>
      <c r="S93" s="3">
        <f t="shared" si="10"/>
        <v>1</v>
      </c>
      <c r="T93" s="3">
        <f t="shared" si="11"/>
        <v>0</v>
      </c>
    </row>
    <row r="94" spans="1:20">
      <c r="A94" s="3" t="s">
        <v>45</v>
      </c>
      <c r="B94" s="4">
        <v>45658</v>
      </c>
      <c r="C94" s="3" t="s">
        <v>27</v>
      </c>
      <c r="D94" s="3" t="s">
        <v>16</v>
      </c>
      <c r="E94" s="3">
        <v>585937.48</v>
      </c>
      <c r="F94" s="3">
        <v>82624.2</v>
      </c>
      <c r="G94" s="3">
        <v>38966.589999999997</v>
      </c>
      <c r="H94" s="3">
        <v>4509</v>
      </c>
      <c r="I94" s="3">
        <v>0.19400000000000001</v>
      </c>
      <c r="J94" s="3">
        <v>14</v>
      </c>
      <c r="K94" s="3">
        <f t="shared" si="6"/>
        <v>0</v>
      </c>
      <c r="L94" s="3">
        <f t="shared" si="7"/>
        <v>0</v>
      </c>
      <c r="M94" s="3">
        <f t="shared" si="8"/>
        <v>0</v>
      </c>
      <c r="N94" s="3">
        <v>91.1</v>
      </c>
      <c r="O94" s="3">
        <v>2.92</v>
      </c>
      <c r="P94" s="3">
        <v>0</v>
      </c>
      <c r="Q94" s="3">
        <v>4.5999999999999996</v>
      </c>
      <c r="R94" s="3">
        <f t="shared" si="9"/>
        <v>0</v>
      </c>
      <c r="S94" s="3">
        <f t="shared" si="10"/>
        <v>0</v>
      </c>
      <c r="T94" s="3">
        <f t="shared" si="11"/>
        <v>1</v>
      </c>
    </row>
    <row r="95" spans="1:20">
      <c r="A95" s="3" t="s">
        <v>45</v>
      </c>
      <c r="B95" s="4">
        <v>45689</v>
      </c>
      <c r="C95" s="3" t="s">
        <v>27</v>
      </c>
      <c r="D95" s="3" t="s">
        <v>16</v>
      </c>
      <c r="E95" s="3">
        <v>753473.55</v>
      </c>
      <c r="F95" s="3">
        <v>151527.22</v>
      </c>
      <c r="G95" s="3">
        <v>67439.3</v>
      </c>
      <c r="H95" s="3">
        <v>6477</v>
      </c>
      <c r="I95" s="3">
        <v>0</v>
      </c>
      <c r="J95" s="3">
        <v>16</v>
      </c>
      <c r="K95" s="3">
        <f t="shared" si="6"/>
        <v>0</v>
      </c>
      <c r="L95" s="3">
        <f t="shared" si="7"/>
        <v>0</v>
      </c>
      <c r="M95" s="3">
        <f t="shared" si="8"/>
        <v>0</v>
      </c>
      <c r="N95" s="3">
        <v>90.9</v>
      </c>
      <c r="O95" s="3">
        <v>1.64</v>
      </c>
      <c r="P95" s="3">
        <v>0</v>
      </c>
      <c r="Q95" s="3">
        <v>4.5</v>
      </c>
      <c r="R95" s="3">
        <f t="shared" si="9"/>
        <v>0</v>
      </c>
      <c r="S95" s="3">
        <f t="shared" si="10"/>
        <v>0</v>
      </c>
      <c r="T95" s="3">
        <f t="shared" si="11"/>
        <v>1</v>
      </c>
    </row>
    <row r="96" spans="1:20">
      <c r="A96" s="3" t="s">
        <v>45</v>
      </c>
      <c r="B96" s="4">
        <v>45717</v>
      </c>
      <c r="C96" s="3" t="s">
        <v>27</v>
      </c>
      <c r="D96" s="3" t="s">
        <v>16</v>
      </c>
      <c r="E96" s="3">
        <v>838250.32</v>
      </c>
      <c r="F96" s="3">
        <v>122939.34</v>
      </c>
      <c r="G96" s="3">
        <v>86421.88</v>
      </c>
      <c r="H96" s="3">
        <v>7970</v>
      </c>
      <c r="I96" s="3">
        <v>7.2999999999999995E-2</v>
      </c>
      <c r="J96" s="3">
        <v>17</v>
      </c>
      <c r="K96" s="3">
        <f t="shared" si="6"/>
        <v>0</v>
      </c>
      <c r="L96" s="3">
        <f t="shared" si="7"/>
        <v>0</v>
      </c>
      <c r="M96" s="3">
        <f t="shared" si="8"/>
        <v>0</v>
      </c>
      <c r="N96" s="3">
        <v>91.3</v>
      </c>
      <c r="O96" s="3">
        <v>0.8</v>
      </c>
      <c r="P96" s="3">
        <v>0</v>
      </c>
      <c r="Q96" s="3">
        <v>5</v>
      </c>
      <c r="R96" s="3">
        <f t="shared" si="9"/>
        <v>0</v>
      </c>
      <c r="S96" s="3">
        <f t="shared" si="10"/>
        <v>0</v>
      </c>
      <c r="T96" s="3">
        <f t="shared" si="11"/>
        <v>1</v>
      </c>
    </row>
    <row r="97" spans="1:20">
      <c r="A97" s="3" t="s">
        <v>45</v>
      </c>
      <c r="B97" s="4">
        <v>45748</v>
      </c>
      <c r="C97" s="3" t="s">
        <v>27</v>
      </c>
      <c r="D97" s="3" t="s">
        <v>16</v>
      </c>
      <c r="E97" s="3">
        <v>607898.12</v>
      </c>
      <c r="F97" s="3">
        <v>135404.85</v>
      </c>
      <c r="G97" s="3">
        <v>9534.65</v>
      </c>
      <c r="H97" s="3">
        <v>6057</v>
      </c>
      <c r="I97" s="3">
        <v>7.3999999999999996E-2</v>
      </c>
      <c r="J97" s="3">
        <v>15</v>
      </c>
      <c r="K97" s="3">
        <f t="shared" si="6"/>
        <v>0</v>
      </c>
      <c r="L97" s="3">
        <f t="shared" si="7"/>
        <v>0</v>
      </c>
      <c r="M97" s="3">
        <f t="shared" si="8"/>
        <v>0</v>
      </c>
      <c r="N97" s="3">
        <v>94.1</v>
      </c>
      <c r="O97" s="3">
        <v>5.79</v>
      </c>
      <c r="P97" s="3">
        <v>0</v>
      </c>
      <c r="Q97" s="3">
        <v>4.5</v>
      </c>
      <c r="R97" s="3">
        <f t="shared" si="9"/>
        <v>0</v>
      </c>
      <c r="S97" s="3">
        <f t="shared" si="10"/>
        <v>0</v>
      </c>
      <c r="T97" s="3">
        <f t="shared" si="11"/>
        <v>1</v>
      </c>
    </row>
    <row r="98" spans="1:20">
      <c r="A98" s="3" t="s">
        <v>46</v>
      </c>
      <c r="B98" s="4">
        <v>45658</v>
      </c>
      <c r="C98" s="3" t="s">
        <v>27</v>
      </c>
      <c r="D98" s="3" t="s">
        <v>28</v>
      </c>
      <c r="E98" s="3">
        <v>691113.62</v>
      </c>
      <c r="F98" s="3">
        <v>135145.44</v>
      </c>
      <c r="G98" s="3">
        <v>61132.07</v>
      </c>
      <c r="H98" s="3">
        <v>6394</v>
      </c>
      <c r="I98" s="3">
        <v>0.16300000000000001</v>
      </c>
      <c r="J98" s="3">
        <v>19</v>
      </c>
      <c r="K98" s="3">
        <f t="shared" si="6"/>
        <v>0</v>
      </c>
      <c r="L98" s="3">
        <f t="shared" si="7"/>
        <v>0</v>
      </c>
      <c r="M98" s="3">
        <f t="shared" si="8"/>
        <v>1</v>
      </c>
      <c r="N98" s="3">
        <v>91</v>
      </c>
      <c r="O98" s="3">
        <v>19.600000000000001</v>
      </c>
      <c r="P98" s="3">
        <v>0</v>
      </c>
      <c r="Q98" s="3">
        <v>4.4000000000000004</v>
      </c>
      <c r="R98" s="3">
        <f t="shared" si="9"/>
        <v>0</v>
      </c>
      <c r="S98" s="3">
        <f t="shared" si="10"/>
        <v>0</v>
      </c>
      <c r="T98" s="3">
        <f t="shared" si="11"/>
        <v>1</v>
      </c>
    </row>
    <row r="99" spans="1:20">
      <c r="A99" s="3" t="s">
        <v>46</v>
      </c>
      <c r="B99" s="4">
        <v>45689</v>
      </c>
      <c r="C99" s="3" t="s">
        <v>27</v>
      </c>
      <c r="D99" s="3" t="s">
        <v>28</v>
      </c>
      <c r="E99" s="3">
        <v>735509.4</v>
      </c>
      <c r="F99" s="3">
        <v>83895.96</v>
      </c>
      <c r="G99" s="3">
        <v>78839.39</v>
      </c>
      <c r="H99" s="3">
        <v>5150</v>
      </c>
      <c r="I99" s="3">
        <v>0.17100000000000001</v>
      </c>
      <c r="J99" s="3">
        <v>13</v>
      </c>
      <c r="K99" s="3">
        <f t="shared" si="6"/>
        <v>0</v>
      </c>
      <c r="L99" s="3">
        <f t="shared" si="7"/>
        <v>0</v>
      </c>
      <c r="M99" s="3">
        <f t="shared" si="8"/>
        <v>1</v>
      </c>
      <c r="N99" s="3">
        <v>85.8</v>
      </c>
      <c r="O99" s="3">
        <v>7.57</v>
      </c>
      <c r="P99" s="3">
        <v>0</v>
      </c>
      <c r="Q99" s="3">
        <v>4.3</v>
      </c>
      <c r="R99" s="3">
        <f t="shared" si="9"/>
        <v>0</v>
      </c>
      <c r="S99" s="3">
        <f t="shared" si="10"/>
        <v>0</v>
      </c>
      <c r="T99" s="3">
        <f t="shared" si="11"/>
        <v>1</v>
      </c>
    </row>
    <row r="100" spans="1:20">
      <c r="A100" s="3" t="s">
        <v>46</v>
      </c>
      <c r="B100" s="4">
        <v>45717</v>
      </c>
      <c r="C100" s="3" t="s">
        <v>27</v>
      </c>
      <c r="D100" s="3" t="s">
        <v>28</v>
      </c>
      <c r="E100" s="3">
        <v>605775.32999999996</v>
      </c>
      <c r="F100" s="3">
        <v>107194.6</v>
      </c>
      <c r="G100" s="3">
        <v>38752.800000000003</v>
      </c>
      <c r="H100" s="3">
        <v>4712</v>
      </c>
      <c r="I100" s="3">
        <v>7.4999999999999997E-2</v>
      </c>
      <c r="J100" s="3">
        <v>15</v>
      </c>
      <c r="K100" s="3">
        <f t="shared" si="6"/>
        <v>0</v>
      </c>
      <c r="L100" s="3">
        <f t="shared" si="7"/>
        <v>0</v>
      </c>
      <c r="M100" s="3">
        <f t="shared" si="8"/>
        <v>1</v>
      </c>
      <c r="N100" s="3">
        <v>89.7</v>
      </c>
      <c r="O100" s="5">
        <v>4.5599999999999996</v>
      </c>
      <c r="P100" s="3">
        <v>0</v>
      </c>
      <c r="Q100" s="3">
        <v>4.3</v>
      </c>
      <c r="R100" s="3">
        <f t="shared" si="9"/>
        <v>0</v>
      </c>
      <c r="S100" s="3">
        <f t="shared" si="10"/>
        <v>0</v>
      </c>
      <c r="T100" s="3">
        <f t="shared" si="11"/>
        <v>1</v>
      </c>
    </row>
    <row r="101" spans="1:20">
      <c r="A101" s="3" t="s">
        <v>46</v>
      </c>
      <c r="B101" s="4">
        <v>45748</v>
      </c>
      <c r="C101" s="3" t="s">
        <v>27</v>
      </c>
      <c r="D101" s="3" t="s">
        <v>28</v>
      </c>
      <c r="E101" s="3">
        <v>675177.68</v>
      </c>
      <c r="F101" s="3">
        <v>105628.68</v>
      </c>
      <c r="G101" s="3">
        <v>55101.1</v>
      </c>
      <c r="H101" s="3">
        <v>5281</v>
      </c>
      <c r="I101" s="3">
        <v>0.189</v>
      </c>
      <c r="J101" s="3">
        <v>11</v>
      </c>
      <c r="K101" s="3">
        <f t="shared" si="6"/>
        <v>0</v>
      </c>
      <c r="L101" s="3">
        <f t="shared" si="7"/>
        <v>0</v>
      </c>
      <c r="M101" s="3">
        <f t="shared" si="8"/>
        <v>1</v>
      </c>
      <c r="N101" s="3">
        <v>91</v>
      </c>
      <c r="O101" s="3">
        <v>2.7</v>
      </c>
      <c r="P101" s="3">
        <v>0</v>
      </c>
      <c r="Q101" s="3">
        <v>4.4000000000000004</v>
      </c>
      <c r="R101" s="3">
        <f t="shared" si="9"/>
        <v>0</v>
      </c>
      <c r="S101" s="3">
        <f t="shared" si="10"/>
        <v>0</v>
      </c>
      <c r="T101" s="3">
        <f t="shared" si="11"/>
        <v>1</v>
      </c>
    </row>
    <row r="102" spans="1:20">
      <c r="A102" s="3" t="s">
        <v>47</v>
      </c>
      <c r="B102" s="4">
        <v>45658</v>
      </c>
      <c r="C102" s="3" t="s">
        <v>15</v>
      </c>
      <c r="D102" s="3" t="s">
        <v>28</v>
      </c>
      <c r="E102" s="3">
        <v>635181.35</v>
      </c>
      <c r="F102" s="3">
        <v>83341.25</v>
      </c>
      <c r="G102" s="3">
        <v>53084.76</v>
      </c>
      <c r="H102" s="3">
        <v>3642</v>
      </c>
      <c r="I102" s="3">
        <v>0.15</v>
      </c>
      <c r="J102" s="3">
        <v>12</v>
      </c>
      <c r="K102" s="3">
        <f t="shared" si="6"/>
        <v>0</v>
      </c>
      <c r="L102" s="3">
        <f t="shared" si="7"/>
        <v>0</v>
      </c>
      <c r="M102" s="3">
        <f t="shared" si="8"/>
        <v>1</v>
      </c>
      <c r="N102" s="3">
        <v>91.4</v>
      </c>
      <c r="O102" s="3">
        <v>0.2</v>
      </c>
      <c r="P102" s="3">
        <v>0</v>
      </c>
      <c r="Q102" s="3">
        <v>4.4000000000000004</v>
      </c>
      <c r="R102" s="3">
        <f t="shared" si="9"/>
        <v>1</v>
      </c>
      <c r="S102" s="3">
        <f t="shared" si="10"/>
        <v>0</v>
      </c>
      <c r="T102" s="3">
        <f t="shared" si="11"/>
        <v>0</v>
      </c>
    </row>
    <row r="103" spans="1:20">
      <c r="A103" s="3" t="s">
        <v>47</v>
      </c>
      <c r="B103" s="4">
        <v>45689</v>
      </c>
      <c r="C103" s="3" t="s">
        <v>15</v>
      </c>
      <c r="D103" s="3" t="s">
        <v>28</v>
      </c>
      <c r="E103" s="3">
        <v>586626.93999999994</v>
      </c>
      <c r="F103" s="3">
        <v>86498.55</v>
      </c>
      <c r="G103" s="3">
        <v>63101.59</v>
      </c>
      <c r="H103" s="3">
        <v>4373</v>
      </c>
      <c r="I103" s="3">
        <v>0.17299999999999999</v>
      </c>
      <c r="J103" s="3">
        <v>14</v>
      </c>
      <c r="K103" s="3">
        <f t="shared" si="6"/>
        <v>0</v>
      </c>
      <c r="L103" s="3">
        <f t="shared" si="7"/>
        <v>0</v>
      </c>
      <c r="M103" s="3">
        <f t="shared" si="8"/>
        <v>1</v>
      </c>
      <c r="N103" s="3">
        <v>90.4</v>
      </c>
      <c r="O103" s="3">
        <v>7.87</v>
      </c>
      <c r="P103" s="3">
        <v>0</v>
      </c>
      <c r="Q103" s="3">
        <v>4.7</v>
      </c>
      <c r="R103" s="3">
        <f t="shared" si="9"/>
        <v>1</v>
      </c>
      <c r="S103" s="3">
        <f t="shared" si="10"/>
        <v>0</v>
      </c>
      <c r="T103" s="3">
        <f t="shared" si="11"/>
        <v>0</v>
      </c>
    </row>
    <row r="104" spans="1:20">
      <c r="A104" s="3" t="s">
        <v>47</v>
      </c>
      <c r="B104" s="4">
        <v>45717</v>
      </c>
      <c r="C104" s="3" t="s">
        <v>15</v>
      </c>
      <c r="D104" s="3" t="s">
        <v>28</v>
      </c>
      <c r="E104" s="3">
        <v>740102.64</v>
      </c>
      <c r="F104" s="3">
        <v>114299.07</v>
      </c>
      <c r="G104" s="3">
        <v>90084.4</v>
      </c>
      <c r="H104" s="3">
        <v>6832</v>
      </c>
      <c r="I104" s="3">
        <v>0.185</v>
      </c>
      <c r="J104" s="3">
        <v>14</v>
      </c>
      <c r="K104" s="3">
        <f t="shared" si="6"/>
        <v>0</v>
      </c>
      <c r="L104" s="3">
        <f t="shared" si="7"/>
        <v>0</v>
      </c>
      <c r="M104" s="3">
        <f t="shared" si="8"/>
        <v>1</v>
      </c>
      <c r="N104" s="3">
        <v>80.5</v>
      </c>
      <c r="O104" s="3">
        <v>0.77</v>
      </c>
      <c r="P104" s="3">
        <v>1</v>
      </c>
      <c r="Q104" s="3">
        <v>4.4000000000000004</v>
      </c>
      <c r="R104" s="3">
        <f t="shared" si="9"/>
        <v>1</v>
      </c>
      <c r="S104" s="3">
        <f t="shared" si="10"/>
        <v>0</v>
      </c>
      <c r="T104" s="3">
        <f t="shared" si="11"/>
        <v>0</v>
      </c>
    </row>
    <row r="105" spans="1:20">
      <c r="A105" s="3" t="s">
        <v>47</v>
      </c>
      <c r="B105" s="4">
        <v>45748</v>
      </c>
      <c r="C105" s="3" t="s">
        <v>15</v>
      </c>
      <c r="D105" s="3" t="s">
        <v>28</v>
      </c>
      <c r="E105" s="3">
        <v>625514.04</v>
      </c>
      <c r="F105" s="3">
        <v>120685.08</v>
      </c>
      <c r="G105" s="3">
        <v>32266.639999999999</v>
      </c>
      <c r="H105" s="3">
        <v>2414</v>
      </c>
      <c r="I105" s="3">
        <v>0.08</v>
      </c>
      <c r="J105" s="3">
        <v>7</v>
      </c>
      <c r="K105" s="3">
        <f t="shared" si="6"/>
        <v>0</v>
      </c>
      <c r="L105" s="3">
        <f t="shared" si="7"/>
        <v>0</v>
      </c>
      <c r="M105" s="3">
        <f t="shared" si="8"/>
        <v>1</v>
      </c>
      <c r="N105" s="3">
        <v>92.1</v>
      </c>
      <c r="O105" s="3">
        <v>1.48</v>
      </c>
      <c r="P105" s="3">
        <v>0</v>
      </c>
      <c r="Q105" s="3">
        <v>5</v>
      </c>
      <c r="R105" s="3">
        <f t="shared" si="9"/>
        <v>1</v>
      </c>
      <c r="S105" s="3">
        <f t="shared" si="10"/>
        <v>0</v>
      </c>
      <c r="T105" s="3">
        <f t="shared" si="11"/>
        <v>0</v>
      </c>
    </row>
    <row r="106" spans="1:20">
      <c r="A106" s="3" t="s">
        <v>48</v>
      </c>
      <c r="B106" s="4">
        <v>45658</v>
      </c>
      <c r="C106" s="3" t="s">
        <v>27</v>
      </c>
      <c r="D106" s="3" t="s">
        <v>18</v>
      </c>
      <c r="E106" s="3">
        <v>727227.2</v>
      </c>
      <c r="F106" s="3">
        <v>121292.01</v>
      </c>
      <c r="G106" s="3">
        <v>57919.07</v>
      </c>
      <c r="H106" s="3">
        <v>7374</v>
      </c>
      <c r="I106" s="3">
        <v>0.10299999999999999</v>
      </c>
      <c r="J106" s="3">
        <v>21</v>
      </c>
      <c r="K106" s="3">
        <f t="shared" si="6"/>
        <v>1</v>
      </c>
      <c r="L106" s="3">
        <f t="shared" si="7"/>
        <v>0</v>
      </c>
      <c r="M106" s="3">
        <f t="shared" si="8"/>
        <v>0</v>
      </c>
      <c r="N106" s="3">
        <v>82.3</v>
      </c>
      <c r="O106" s="3">
        <v>2.87</v>
      </c>
      <c r="P106" s="3">
        <v>0</v>
      </c>
      <c r="Q106" s="3">
        <v>2.9</v>
      </c>
      <c r="R106" s="3">
        <f t="shared" si="9"/>
        <v>0</v>
      </c>
      <c r="S106" s="3">
        <f t="shared" si="10"/>
        <v>0</v>
      </c>
      <c r="T106" s="3">
        <f t="shared" si="11"/>
        <v>1</v>
      </c>
    </row>
    <row r="107" spans="1:20">
      <c r="A107" s="3" t="s">
        <v>48</v>
      </c>
      <c r="B107" s="4">
        <v>45689</v>
      </c>
      <c r="C107" s="3" t="s">
        <v>27</v>
      </c>
      <c r="D107" s="3" t="s">
        <v>18</v>
      </c>
      <c r="E107" s="3">
        <v>783797.89</v>
      </c>
      <c r="F107" s="3">
        <v>157620.70000000001</v>
      </c>
      <c r="G107" s="3">
        <v>74679.350000000006</v>
      </c>
      <c r="H107" s="3">
        <v>8739</v>
      </c>
      <c r="I107" s="3">
        <v>5.6000000000000001E-2</v>
      </c>
      <c r="J107" s="3">
        <v>21</v>
      </c>
      <c r="K107" s="3">
        <f t="shared" si="6"/>
        <v>1</v>
      </c>
      <c r="L107" s="3">
        <f t="shared" si="7"/>
        <v>0</v>
      </c>
      <c r="M107" s="3">
        <f t="shared" si="8"/>
        <v>0</v>
      </c>
      <c r="N107" s="3">
        <v>91.8</v>
      </c>
      <c r="O107" s="3">
        <v>2.83</v>
      </c>
      <c r="P107" s="3">
        <v>0</v>
      </c>
      <c r="Q107" s="3">
        <v>3</v>
      </c>
      <c r="R107" s="3">
        <f t="shared" si="9"/>
        <v>0</v>
      </c>
      <c r="S107" s="3">
        <f t="shared" si="10"/>
        <v>0</v>
      </c>
      <c r="T107" s="3">
        <f t="shared" si="11"/>
        <v>1</v>
      </c>
    </row>
    <row r="108" spans="1:20">
      <c r="A108" s="3" t="s">
        <v>48</v>
      </c>
      <c r="B108" s="4">
        <v>45717</v>
      </c>
      <c r="C108" s="3" t="s">
        <v>27</v>
      </c>
      <c r="D108" s="3" t="s">
        <v>18</v>
      </c>
      <c r="E108" s="3">
        <v>795153.84</v>
      </c>
      <c r="F108" s="3">
        <v>143194.21</v>
      </c>
      <c r="G108" s="3">
        <v>64294.23</v>
      </c>
      <c r="H108" s="3">
        <v>6992</v>
      </c>
      <c r="I108" s="3">
        <v>0.13300000000000001</v>
      </c>
      <c r="J108" s="3">
        <v>14</v>
      </c>
      <c r="K108" s="3">
        <f t="shared" si="6"/>
        <v>1</v>
      </c>
      <c r="L108" s="3">
        <f t="shared" si="7"/>
        <v>0</v>
      </c>
      <c r="M108" s="3">
        <f t="shared" si="8"/>
        <v>0</v>
      </c>
      <c r="N108" s="3">
        <v>94.1</v>
      </c>
      <c r="O108" s="3">
        <v>0.25</v>
      </c>
      <c r="P108" s="3">
        <v>0</v>
      </c>
      <c r="Q108" s="3">
        <v>3</v>
      </c>
      <c r="R108" s="3">
        <f t="shared" si="9"/>
        <v>0</v>
      </c>
      <c r="S108" s="3">
        <f t="shared" si="10"/>
        <v>0</v>
      </c>
      <c r="T108" s="3">
        <f t="shared" si="11"/>
        <v>1</v>
      </c>
    </row>
    <row r="109" spans="1:20">
      <c r="A109" s="3" t="s">
        <v>48</v>
      </c>
      <c r="B109" s="4">
        <v>45748</v>
      </c>
      <c r="C109" s="3" t="s">
        <v>27</v>
      </c>
      <c r="D109" s="3" t="s">
        <v>18</v>
      </c>
      <c r="E109" s="3">
        <v>665594.93999999994</v>
      </c>
      <c r="F109" s="3">
        <v>127597.34</v>
      </c>
      <c r="G109" s="3">
        <v>31042.03</v>
      </c>
      <c r="H109" s="3">
        <v>7107</v>
      </c>
      <c r="I109" s="3">
        <v>5.0999999999999997E-2</v>
      </c>
      <c r="J109" s="3">
        <v>15</v>
      </c>
      <c r="K109" s="3">
        <f t="shared" si="6"/>
        <v>1</v>
      </c>
      <c r="L109" s="3">
        <f t="shared" si="7"/>
        <v>0</v>
      </c>
      <c r="M109" s="3">
        <f t="shared" si="8"/>
        <v>0</v>
      </c>
      <c r="N109" s="3">
        <v>87</v>
      </c>
      <c r="O109" s="3">
        <v>13.33</v>
      </c>
      <c r="P109" s="3">
        <v>0</v>
      </c>
      <c r="Q109" s="3">
        <v>3.2</v>
      </c>
      <c r="R109" s="3">
        <f t="shared" si="9"/>
        <v>0</v>
      </c>
      <c r="S109" s="3">
        <f t="shared" si="10"/>
        <v>0</v>
      </c>
      <c r="T109" s="3">
        <f t="shared" si="11"/>
        <v>1</v>
      </c>
    </row>
    <row r="110" spans="1:20">
      <c r="A110" s="3" t="s">
        <v>49</v>
      </c>
      <c r="B110" s="4">
        <v>45658</v>
      </c>
      <c r="C110" s="3" t="s">
        <v>15</v>
      </c>
      <c r="D110" s="3" t="s">
        <v>28</v>
      </c>
      <c r="E110" s="3">
        <v>709478.39</v>
      </c>
      <c r="F110" s="3">
        <v>71294.27</v>
      </c>
      <c r="G110" s="3">
        <v>75265.02</v>
      </c>
      <c r="H110" s="3">
        <v>6975</v>
      </c>
      <c r="I110" s="3">
        <v>0.157</v>
      </c>
      <c r="J110" s="3">
        <v>20</v>
      </c>
      <c r="K110" s="3">
        <f t="shared" si="6"/>
        <v>0</v>
      </c>
      <c r="L110" s="3">
        <f t="shared" si="7"/>
        <v>0</v>
      </c>
      <c r="M110" s="3">
        <f t="shared" si="8"/>
        <v>1</v>
      </c>
      <c r="N110" s="3">
        <v>73.8</v>
      </c>
      <c r="O110" s="3">
        <v>6.35</v>
      </c>
      <c r="P110" s="3">
        <v>1</v>
      </c>
      <c r="Q110" s="3">
        <v>3.8</v>
      </c>
      <c r="R110" s="3">
        <f t="shared" si="9"/>
        <v>1</v>
      </c>
      <c r="S110" s="3">
        <f t="shared" si="10"/>
        <v>0</v>
      </c>
      <c r="T110" s="3">
        <f t="shared" si="11"/>
        <v>0</v>
      </c>
    </row>
    <row r="111" spans="1:20">
      <c r="A111" s="3" t="s">
        <v>49</v>
      </c>
      <c r="B111" s="4">
        <v>45689</v>
      </c>
      <c r="C111" s="3" t="s">
        <v>15</v>
      </c>
      <c r="D111" s="3" t="s">
        <v>28</v>
      </c>
      <c r="E111" s="3">
        <v>664162.49</v>
      </c>
      <c r="F111" s="3">
        <v>98291.06</v>
      </c>
      <c r="G111" s="3">
        <v>69411.7</v>
      </c>
      <c r="H111" s="3">
        <v>5493</v>
      </c>
      <c r="I111" s="3">
        <v>0.29199999999999998</v>
      </c>
      <c r="J111" s="3">
        <v>13</v>
      </c>
      <c r="K111" s="3">
        <f t="shared" si="6"/>
        <v>0</v>
      </c>
      <c r="L111" s="3">
        <f t="shared" si="7"/>
        <v>0</v>
      </c>
      <c r="M111" s="3">
        <f t="shared" si="8"/>
        <v>1</v>
      </c>
      <c r="N111" s="3">
        <v>86.5</v>
      </c>
      <c r="O111" s="3">
        <v>6.69</v>
      </c>
      <c r="P111" s="3">
        <v>0</v>
      </c>
      <c r="Q111" s="3">
        <v>3.8</v>
      </c>
      <c r="R111" s="3">
        <f t="shared" si="9"/>
        <v>1</v>
      </c>
      <c r="S111" s="3">
        <f t="shared" si="10"/>
        <v>0</v>
      </c>
      <c r="T111" s="3">
        <f t="shared" si="11"/>
        <v>0</v>
      </c>
    </row>
    <row r="112" spans="1:20">
      <c r="A112" s="3" t="s">
        <v>49</v>
      </c>
      <c r="B112" s="4">
        <v>45717</v>
      </c>
      <c r="C112" s="3" t="s">
        <v>15</v>
      </c>
      <c r="D112" s="3" t="s">
        <v>28</v>
      </c>
      <c r="E112" s="3">
        <v>633494.21</v>
      </c>
      <c r="F112" s="3">
        <v>105739.47</v>
      </c>
      <c r="G112" s="3">
        <v>51056.15</v>
      </c>
      <c r="H112" s="3">
        <v>5686</v>
      </c>
      <c r="I112" s="3">
        <v>8.8999999999999996E-2</v>
      </c>
      <c r="J112" s="3">
        <v>13</v>
      </c>
      <c r="K112" s="3">
        <f t="shared" si="6"/>
        <v>0</v>
      </c>
      <c r="L112" s="3">
        <f t="shared" si="7"/>
        <v>0</v>
      </c>
      <c r="M112" s="3">
        <f t="shared" si="8"/>
        <v>1</v>
      </c>
      <c r="N112" s="3">
        <v>89.9</v>
      </c>
      <c r="O112" s="3">
        <v>1.28</v>
      </c>
      <c r="P112" s="3">
        <v>0</v>
      </c>
      <c r="Q112" s="3">
        <v>4.2</v>
      </c>
      <c r="R112" s="3">
        <f t="shared" si="9"/>
        <v>1</v>
      </c>
      <c r="S112" s="3">
        <f t="shared" si="10"/>
        <v>0</v>
      </c>
      <c r="T112" s="3">
        <f t="shared" si="11"/>
        <v>0</v>
      </c>
    </row>
    <row r="113" spans="1:20">
      <c r="A113" s="3" t="s">
        <v>49</v>
      </c>
      <c r="B113" s="4">
        <v>45748</v>
      </c>
      <c r="C113" s="3" t="s">
        <v>15</v>
      </c>
      <c r="D113" s="3" t="s">
        <v>28</v>
      </c>
      <c r="E113" s="3">
        <v>713611.16</v>
      </c>
      <c r="F113" s="3">
        <v>129717.18</v>
      </c>
      <c r="G113" s="3">
        <v>52758.01</v>
      </c>
      <c r="H113" s="3">
        <v>4063</v>
      </c>
      <c r="I113" s="3">
        <v>5.7000000000000002E-2</v>
      </c>
      <c r="J113" s="3">
        <v>12</v>
      </c>
      <c r="K113" s="3">
        <f t="shared" si="6"/>
        <v>0</v>
      </c>
      <c r="L113" s="3">
        <f t="shared" si="7"/>
        <v>0</v>
      </c>
      <c r="M113" s="3">
        <f t="shared" si="8"/>
        <v>1</v>
      </c>
      <c r="N113" s="3">
        <v>91.7</v>
      </c>
      <c r="O113" s="3">
        <v>0.92</v>
      </c>
      <c r="P113" s="3">
        <v>0</v>
      </c>
      <c r="Q113" s="3">
        <v>3.5</v>
      </c>
      <c r="R113" s="3">
        <f t="shared" si="9"/>
        <v>1</v>
      </c>
      <c r="S113" s="3">
        <f t="shared" si="10"/>
        <v>0</v>
      </c>
      <c r="T113" s="3">
        <f t="shared" si="11"/>
        <v>0</v>
      </c>
    </row>
    <row r="114" spans="1:20">
      <c r="A114" s="3" t="s">
        <v>50</v>
      </c>
      <c r="B114" s="4">
        <v>45658</v>
      </c>
      <c r="C114" s="3" t="s">
        <v>27</v>
      </c>
      <c r="D114" s="3" t="s">
        <v>28</v>
      </c>
      <c r="E114" s="3">
        <v>778397.97</v>
      </c>
      <c r="F114" s="3">
        <v>120044.41</v>
      </c>
      <c r="G114" s="3">
        <v>61426.04</v>
      </c>
      <c r="H114" s="3">
        <v>8966</v>
      </c>
      <c r="I114" s="3">
        <v>0.17299999999999999</v>
      </c>
      <c r="J114" s="3">
        <v>22</v>
      </c>
      <c r="K114" s="3">
        <f t="shared" si="6"/>
        <v>0</v>
      </c>
      <c r="L114" s="3">
        <f t="shared" si="7"/>
        <v>0</v>
      </c>
      <c r="M114" s="3">
        <f t="shared" si="8"/>
        <v>1</v>
      </c>
      <c r="N114" s="3">
        <v>76.400000000000006</v>
      </c>
      <c r="O114" s="3">
        <v>1.05</v>
      </c>
      <c r="P114" s="3">
        <v>0</v>
      </c>
      <c r="Q114" s="3">
        <v>3.1</v>
      </c>
      <c r="R114" s="3">
        <f t="shared" si="9"/>
        <v>0</v>
      </c>
      <c r="S114" s="3">
        <f t="shared" si="10"/>
        <v>0</v>
      </c>
      <c r="T114" s="3">
        <f t="shared" si="11"/>
        <v>1</v>
      </c>
    </row>
    <row r="115" spans="1:20">
      <c r="A115" s="3" t="s">
        <v>50</v>
      </c>
      <c r="B115" s="4">
        <v>45689</v>
      </c>
      <c r="C115" s="3" t="s">
        <v>27</v>
      </c>
      <c r="D115" s="3" t="s">
        <v>28</v>
      </c>
      <c r="E115" s="3">
        <v>873380.02</v>
      </c>
      <c r="F115" s="3">
        <v>149734.76</v>
      </c>
      <c r="G115" s="3">
        <v>80176.34</v>
      </c>
      <c r="H115" s="3">
        <v>9489</v>
      </c>
      <c r="I115" s="3">
        <v>0.14199999999999999</v>
      </c>
      <c r="J115" s="3">
        <v>22</v>
      </c>
      <c r="K115" s="3">
        <f t="shared" si="6"/>
        <v>0</v>
      </c>
      <c r="L115" s="3">
        <f t="shared" si="7"/>
        <v>0</v>
      </c>
      <c r="M115" s="3">
        <f t="shared" si="8"/>
        <v>1</v>
      </c>
      <c r="N115" s="3">
        <v>94.3</v>
      </c>
      <c r="O115" s="3">
        <v>2.67</v>
      </c>
      <c r="P115" s="3">
        <v>0</v>
      </c>
      <c r="Q115" s="3">
        <v>3.5</v>
      </c>
      <c r="R115" s="3">
        <f t="shared" si="9"/>
        <v>0</v>
      </c>
      <c r="S115" s="3">
        <f t="shared" si="10"/>
        <v>0</v>
      </c>
      <c r="T115" s="3">
        <f t="shared" si="11"/>
        <v>1</v>
      </c>
    </row>
    <row r="116" spans="1:20">
      <c r="A116" s="3" t="s">
        <v>50</v>
      </c>
      <c r="B116" s="4">
        <v>45717</v>
      </c>
      <c r="C116" s="3" t="s">
        <v>27</v>
      </c>
      <c r="D116" s="3" t="s">
        <v>28</v>
      </c>
      <c r="E116" s="3">
        <v>697287.9</v>
      </c>
      <c r="F116" s="3">
        <v>128208.33</v>
      </c>
      <c r="G116" s="3">
        <v>33605.18</v>
      </c>
      <c r="H116" s="3">
        <v>9225</v>
      </c>
      <c r="I116" s="3">
        <v>0.159</v>
      </c>
      <c r="J116" s="3">
        <v>23</v>
      </c>
      <c r="K116" s="3">
        <f t="shared" si="6"/>
        <v>0</v>
      </c>
      <c r="L116" s="3">
        <f t="shared" si="7"/>
        <v>0</v>
      </c>
      <c r="M116" s="3">
        <f t="shared" si="8"/>
        <v>1</v>
      </c>
      <c r="N116" s="3">
        <v>88.4</v>
      </c>
      <c r="O116" s="3">
        <v>5.91</v>
      </c>
      <c r="P116" s="3">
        <v>0</v>
      </c>
      <c r="Q116" s="3">
        <v>2.8</v>
      </c>
      <c r="R116" s="3">
        <f t="shared" si="9"/>
        <v>0</v>
      </c>
      <c r="S116" s="3">
        <f t="shared" si="10"/>
        <v>0</v>
      </c>
      <c r="T116" s="3">
        <f t="shared" si="11"/>
        <v>1</v>
      </c>
    </row>
    <row r="117" spans="1:20">
      <c r="A117" s="3" t="s">
        <v>50</v>
      </c>
      <c r="B117" s="4">
        <v>45748</v>
      </c>
      <c r="C117" s="3" t="s">
        <v>27</v>
      </c>
      <c r="D117" s="3" t="s">
        <v>28</v>
      </c>
      <c r="E117" s="3">
        <v>718074.79</v>
      </c>
      <c r="F117" s="3">
        <v>115819.87</v>
      </c>
      <c r="G117" s="3">
        <v>25990.54</v>
      </c>
      <c r="H117" s="3">
        <v>9249</v>
      </c>
      <c r="I117" s="3">
        <v>0.13900000000000001</v>
      </c>
      <c r="J117" s="3">
        <v>23</v>
      </c>
      <c r="K117" s="3">
        <f t="shared" si="6"/>
        <v>0</v>
      </c>
      <c r="L117" s="3">
        <f t="shared" si="7"/>
        <v>0</v>
      </c>
      <c r="M117" s="3">
        <f t="shared" si="8"/>
        <v>1</v>
      </c>
      <c r="N117" s="3">
        <v>92.5</v>
      </c>
      <c r="O117" s="3">
        <v>6.37</v>
      </c>
      <c r="P117" s="3">
        <v>0</v>
      </c>
      <c r="Q117" s="3">
        <v>3.3</v>
      </c>
      <c r="R117" s="3">
        <f t="shared" si="9"/>
        <v>0</v>
      </c>
      <c r="S117" s="3">
        <f t="shared" si="10"/>
        <v>0</v>
      </c>
      <c r="T117" s="3">
        <f t="shared" si="11"/>
        <v>1</v>
      </c>
    </row>
    <row r="118" spans="1:20">
      <c r="A118" s="3" t="s">
        <v>51</v>
      </c>
      <c r="B118" s="4">
        <v>45658</v>
      </c>
      <c r="C118" s="3" t="s">
        <v>27</v>
      </c>
      <c r="D118" s="3" t="s">
        <v>16</v>
      </c>
      <c r="E118" s="3">
        <v>714942.43</v>
      </c>
      <c r="F118" s="3">
        <v>94697.71</v>
      </c>
      <c r="G118" s="3">
        <v>43685.14</v>
      </c>
      <c r="H118" s="3">
        <v>7821</v>
      </c>
      <c r="I118" s="3">
        <v>0.19</v>
      </c>
      <c r="J118" s="3">
        <v>17</v>
      </c>
      <c r="K118" s="3">
        <f t="shared" si="6"/>
        <v>0</v>
      </c>
      <c r="L118" s="3">
        <f t="shared" si="7"/>
        <v>0</v>
      </c>
      <c r="M118" s="3">
        <f t="shared" si="8"/>
        <v>0</v>
      </c>
      <c r="N118" s="3">
        <v>91</v>
      </c>
      <c r="O118" s="3">
        <v>2.4900000000000002</v>
      </c>
      <c r="P118" s="3">
        <v>1</v>
      </c>
      <c r="Q118" s="3">
        <v>4.7</v>
      </c>
      <c r="R118" s="3">
        <f t="shared" si="9"/>
        <v>0</v>
      </c>
      <c r="S118" s="3">
        <f t="shared" si="10"/>
        <v>0</v>
      </c>
      <c r="T118" s="3">
        <f t="shared" si="11"/>
        <v>1</v>
      </c>
    </row>
    <row r="119" spans="1:20">
      <c r="A119" s="3" t="s">
        <v>51</v>
      </c>
      <c r="B119" s="4">
        <v>45689</v>
      </c>
      <c r="C119" s="3" t="s">
        <v>27</v>
      </c>
      <c r="D119" s="3" t="s">
        <v>16</v>
      </c>
      <c r="E119" s="3">
        <v>820519.04</v>
      </c>
      <c r="F119" s="3">
        <v>99035.88</v>
      </c>
      <c r="G119" s="3">
        <v>57360.01</v>
      </c>
      <c r="H119" s="3">
        <v>8434</v>
      </c>
      <c r="I119" s="3">
        <v>0.151</v>
      </c>
      <c r="J119" s="3">
        <v>19</v>
      </c>
      <c r="K119" s="3">
        <f t="shared" si="6"/>
        <v>0</v>
      </c>
      <c r="L119" s="3">
        <f t="shared" si="7"/>
        <v>0</v>
      </c>
      <c r="M119" s="3">
        <f t="shared" si="8"/>
        <v>0</v>
      </c>
      <c r="N119" s="3">
        <v>84.1</v>
      </c>
      <c r="O119" s="3">
        <v>1.56</v>
      </c>
      <c r="P119" s="3">
        <v>0</v>
      </c>
      <c r="Q119" s="3">
        <v>4.7</v>
      </c>
      <c r="R119" s="3">
        <f t="shared" si="9"/>
        <v>0</v>
      </c>
      <c r="S119" s="3">
        <f t="shared" si="10"/>
        <v>0</v>
      </c>
      <c r="T119" s="3">
        <f t="shared" si="11"/>
        <v>1</v>
      </c>
    </row>
    <row r="120" spans="1:20">
      <c r="A120" s="3" t="s">
        <v>51</v>
      </c>
      <c r="B120" s="4">
        <v>45717</v>
      </c>
      <c r="C120" s="3" t="s">
        <v>27</v>
      </c>
      <c r="D120" s="3" t="s">
        <v>16</v>
      </c>
      <c r="E120" s="3">
        <v>684217.32</v>
      </c>
      <c r="F120" s="3">
        <v>136217.19</v>
      </c>
      <c r="G120" s="3">
        <v>42415.47</v>
      </c>
      <c r="H120" s="3">
        <v>8512</v>
      </c>
      <c r="I120" s="3">
        <v>0.13300000000000001</v>
      </c>
      <c r="J120" s="3">
        <v>18</v>
      </c>
      <c r="K120" s="3">
        <f t="shared" si="6"/>
        <v>0</v>
      </c>
      <c r="L120" s="3">
        <f t="shared" si="7"/>
        <v>0</v>
      </c>
      <c r="M120" s="3">
        <f t="shared" si="8"/>
        <v>0</v>
      </c>
      <c r="N120" s="3">
        <v>96.8</v>
      </c>
      <c r="O120" s="3">
        <v>14.95</v>
      </c>
      <c r="P120" s="3">
        <v>0</v>
      </c>
      <c r="Q120" s="3">
        <v>4.5999999999999996</v>
      </c>
      <c r="R120" s="3">
        <f t="shared" si="9"/>
        <v>0</v>
      </c>
      <c r="S120" s="3">
        <f t="shared" si="10"/>
        <v>0</v>
      </c>
      <c r="T120" s="3">
        <f t="shared" si="11"/>
        <v>1</v>
      </c>
    </row>
    <row r="121" spans="1:20">
      <c r="A121" s="3" t="s">
        <v>51</v>
      </c>
      <c r="B121" s="4">
        <v>45748</v>
      </c>
      <c r="C121" s="3" t="s">
        <v>27</v>
      </c>
      <c r="D121" s="3" t="s">
        <v>16</v>
      </c>
      <c r="E121" s="3">
        <v>735480.19</v>
      </c>
      <c r="F121" s="3">
        <v>88342.11</v>
      </c>
      <c r="G121" s="3">
        <v>54968.98</v>
      </c>
      <c r="H121" s="3">
        <v>7816</v>
      </c>
      <c r="I121" s="3">
        <v>0.23200000000000001</v>
      </c>
      <c r="J121" s="3">
        <v>19</v>
      </c>
      <c r="K121" s="3">
        <f t="shared" si="6"/>
        <v>0</v>
      </c>
      <c r="L121" s="3">
        <f t="shared" si="7"/>
        <v>0</v>
      </c>
      <c r="M121" s="3">
        <f t="shared" si="8"/>
        <v>0</v>
      </c>
      <c r="N121" s="3">
        <v>95.7</v>
      </c>
      <c r="O121" s="3">
        <v>7.85</v>
      </c>
      <c r="P121" s="3">
        <v>0</v>
      </c>
      <c r="Q121" s="3">
        <v>4.7</v>
      </c>
      <c r="R121" s="3">
        <f t="shared" si="9"/>
        <v>0</v>
      </c>
      <c r="S121" s="3">
        <f t="shared" si="10"/>
        <v>0</v>
      </c>
      <c r="T121" s="3">
        <f t="shared" si="11"/>
        <v>1</v>
      </c>
    </row>
    <row r="122" spans="1:20">
      <c r="A122" s="3" t="s">
        <v>52</v>
      </c>
      <c r="B122" s="4">
        <v>45658</v>
      </c>
      <c r="C122" s="3" t="s">
        <v>20</v>
      </c>
      <c r="D122" s="3" t="s">
        <v>18</v>
      </c>
      <c r="E122" s="3">
        <v>509484.81</v>
      </c>
      <c r="F122" s="3">
        <v>85742.36</v>
      </c>
      <c r="G122" s="3">
        <v>43896.13</v>
      </c>
      <c r="H122" s="3">
        <v>3853</v>
      </c>
      <c r="I122" s="3">
        <v>8.7999999999999995E-2</v>
      </c>
      <c r="J122" s="3">
        <v>13</v>
      </c>
      <c r="K122" s="3">
        <f t="shared" si="6"/>
        <v>1</v>
      </c>
      <c r="L122" s="3">
        <f t="shared" si="7"/>
        <v>0</v>
      </c>
      <c r="M122" s="3">
        <f t="shared" si="8"/>
        <v>0</v>
      </c>
      <c r="N122" s="3">
        <v>83</v>
      </c>
      <c r="O122" s="3">
        <v>6.8</v>
      </c>
      <c r="P122" s="3">
        <v>0</v>
      </c>
      <c r="Q122" s="3">
        <v>4.4000000000000004</v>
      </c>
      <c r="R122" s="3">
        <f t="shared" si="9"/>
        <v>0</v>
      </c>
      <c r="S122" s="3">
        <f t="shared" si="10"/>
        <v>0</v>
      </c>
      <c r="T122" s="3">
        <f t="shared" si="11"/>
        <v>0</v>
      </c>
    </row>
    <row r="123" spans="1:20">
      <c r="A123" s="3" t="s">
        <v>52</v>
      </c>
      <c r="B123" s="4">
        <v>45689</v>
      </c>
      <c r="C123" s="3" t="s">
        <v>20</v>
      </c>
      <c r="D123" s="3" t="s">
        <v>18</v>
      </c>
      <c r="E123" s="3">
        <v>654317.09</v>
      </c>
      <c r="F123" s="3">
        <v>121446.89</v>
      </c>
      <c r="G123" s="3">
        <v>83044.17</v>
      </c>
      <c r="H123" s="3">
        <v>3694</v>
      </c>
      <c r="I123" s="3">
        <v>0</v>
      </c>
      <c r="J123" s="3">
        <v>14</v>
      </c>
      <c r="K123" s="3">
        <f t="shared" si="6"/>
        <v>1</v>
      </c>
      <c r="L123" s="3">
        <f t="shared" si="7"/>
        <v>0</v>
      </c>
      <c r="M123" s="3">
        <f t="shared" si="8"/>
        <v>0</v>
      </c>
      <c r="N123" s="3">
        <v>89.4</v>
      </c>
      <c r="O123" s="3">
        <v>2.2000000000000002</v>
      </c>
      <c r="P123" s="3">
        <v>0</v>
      </c>
      <c r="Q123" s="3">
        <v>3.7</v>
      </c>
      <c r="R123" s="3">
        <f t="shared" si="9"/>
        <v>0</v>
      </c>
      <c r="S123" s="3">
        <f t="shared" si="10"/>
        <v>0</v>
      </c>
      <c r="T123" s="3">
        <f t="shared" si="11"/>
        <v>0</v>
      </c>
    </row>
    <row r="124" spans="1:20">
      <c r="A124" s="3" t="s">
        <v>52</v>
      </c>
      <c r="B124" s="4">
        <v>45717</v>
      </c>
      <c r="C124" s="3" t="s">
        <v>20</v>
      </c>
      <c r="D124" s="3" t="s">
        <v>18</v>
      </c>
      <c r="E124" s="3">
        <v>557487.26</v>
      </c>
      <c r="F124" s="3">
        <v>76432.19</v>
      </c>
      <c r="G124" s="3">
        <v>48396.13</v>
      </c>
      <c r="H124" s="3">
        <v>4423</v>
      </c>
      <c r="I124" s="3">
        <v>6.9000000000000006E-2</v>
      </c>
      <c r="J124" s="3">
        <v>15</v>
      </c>
      <c r="K124" s="3">
        <f t="shared" si="6"/>
        <v>1</v>
      </c>
      <c r="L124" s="3">
        <f t="shared" si="7"/>
        <v>0</v>
      </c>
      <c r="M124" s="3">
        <f t="shared" si="8"/>
        <v>0</v>
      </c>
      <c r="N124" s="3">
        <v>85.7</v>
      </c>
      <c r="O124" s="3">
        <v>1.88</v>
      </c>
      <c r="P124" s="3">
        <v>0</v>
      </c>
      <c r="Q124" s="3">
        <v>3.9</v>
      </c>
      <c r="R124" s="3">
        <f t="shared" si="9"/>
        <v>0</v>
      </c>
      <c r="S124" s="3">
        <f t="shared" si="10"/>
        <v>0</v>
      </c>
      <c r="T124" s="3">
        <f t="shared" si="11"/>
        <v>0</v>
      </c>
    </row>
    <row r="125" spans="1:20">
      <c r="A125" s="3" t="s">
        <v>52</v>
      </c>
      <c r="B125" s="4">
        <v>45748</v>
      </c>
      <c r="C125" s="3" t="s">
        <v>20</v>
      </c>
      <c r="D125" s="3" t="s">
        <v>18</v>
      </c>
      <c r="E125" s="3">
        <v>441275.42</v>
      </c>
      <c r="F125" s="3">
        <v>58234.87</v>
      </c>
      <c r="G125" s="3">
        <v>19063.48</v>
      </c>
      <c r="H125" s="3">
        <v>1906</v>
      </c>
      <c r="I125" s="3">
        <v>0.216</v>
      </c>
      <c r="J125" s="3">
        <v>10</v>
      </c>
      <c r="K125" s="3">
        <f t="shared" si="6"/>
        <v>1</v>
      </c>
      <c r="L125" s="3">
        <f t="shared" si="7"/>
        <v>0</v>
      </c>
      <c r="M125" s="3">
        <f t="shared" si="8"/>
        <v>0</v>
      </c>
      <c r="N125" s="3">
        <v>97.8</v>
      </c>
      <c r="O125" s="3">
        <v>15.79</v>
      </c>
      <c r="P125" s="3">
        <v>0</v>
      </c>
      <c r="Q125" s="3">
        <v>4.4000000000000004</v>
      </c>
      <c r="R125" s="3">
        <f t="shared" si="9"/>
        <v>0</v>
      </c>
      <c r="S125" s="3">
        <f t="shared" si="10"/>
        <v>0</v>
      </c>
      <c r="T125" s="3">
        <f t="shared" si="11"/>
        <v>0</v>
      </c>
    </row>
    <row r="126" spans="1:20">
      <c r="A126" s="3" t="s">
        <v>53</v>
      </c>
      <c r="B126" s="4">
        <v>45658</v>
      </c>
      <c r="C126" s="3" t="s">
        <v>24</v>
      </c>
      <c r="D126" s="3" t="s">
        <v>18</v>
      </c>
      <c r="E126" s="3">
        <v>914544.17</v>
      </c>
      <c r="F126" s="3">
        <v>79831.73</v>
      </c>
      <c r="G126" s="3">
        <v>61541.21</v>
      </c>
      <c r="H126" s="3">
        <v>10396</v>
      </c>
      <c r="I126" s="3">
        <v>0.123</v>
      </c>
      <c r="J126" s="3">
        <v>25</v>
      </c>
      <c r="K126" s="3">
        <f t="shared" si="6"/>
        <v>1</v>
      </c>
      <c r="L126" s="3">
        <f t="shared" si="7"/>
        <v>0</v>
      </c>
      <c r="M126" s="3">
        <f t="shared" si="8"/>
        <v>0</v>
      </c>
      <c r="N126" s="3">
        <v>88.1</v>
      </c>
      <c r="O126" s="3">
        <v>2.34</v>
      </c>
      <c r="P126" s="3">
        <v>1</v>
      </c>
      <c r="Q126" s="3">
        <v>4.8</v>
      </c>
      <c r="R126" s="3">
        <f t="shared" si="9"/>
        <v>0</v>
      </c>
      <c r="S126" s="3">
        <f t="shared" si="10"/>
        <v>1</v>
      </c>
      <c r="T126" s="3">
        <f t="shared" si="11"/>
        <v>0</v>
      </c>
    </row>
    <row r="127" spans="1:20">
      <c r="A127" s="3" t="s">
        <v>53</v>
      </c>
      <c r="B127" s="4">
        <v>45689</v>
      </c>
      <c r="C127" s="3" t="s">
        <v>24</v>
      </c>
      <c r="D127" s="3" t="s">
        <v>18</v>
      </c>
      <c r="E127" s="3">
        <v>842439.67</v>
      </c>
      <c r="F127" s="3">
        <v>169983.63</v>
      </c>
      <c r="G127" s="3">
        <v>44747</v>
      </c>
      <c r="H127" s="3">
        <v>11076</v>
      </c>
      <c r="I127" s="3">
        <v>0.17599999999999999</v>
      </c>
      <c r="J127" s="3">
        <v>27</v>
      </c>
      <c r="K127" s="3">
        <f t="shared" si="6"/>
        <v>1</v>
      </c>
      <c r="L127" s="3">
        <f t="shared" si="7"/>
        <v>0</v>
      </c>
      <c r="M127" s="3">
        <f t="shared" si="8"/>
        <v>0</v>
      </c>
      <c r="N127" s="3">
        <v>98.3</v>
      </c>
      <c r="O127" s="3">
        <v>0.54</v>
      </c>
      <c r="P127" s="3">
        <v>0</v>
      </c>
      <c r="Q127" s="3">
        <v>4.4000000000000004</v>
      </c>
      <c r="R127" s="3">
        <f t="shared" si="9"/>
        <v>0</v>
      </c>
      <c r="S127" s="3">
        <f t="shared" si="10"/>
        <v>1</v>
      </c>
      <c r="T127" s="3">
        <f t="shared" si="11"/>
        <v>0</v>
      </c>
    </row>
    <row r="128" spans="1:20">
      <c r="A128" s="3" t="s">
        <v>53</v>
      </c>
      <c r="B128" s="4">
        <v>45717</v>
      </c>
      <c r="C128" s="3" t="s">
        <v>24</v>
      </c>
      <c r="D128" s="3" t="s">
        <v>18</v>
      </c>
      <c r="E128" s="3">
        <v>842157.92</v>
      </c>
      <c r="F128" s="3">
        <v>107348.22</v>
      </c>
      <c r="G128" s="3">
        <v>56517.9</v>
      </c>
      <c r="H128" s="3">
        <v>9574</v>
      </c>
      <c r="I128" s="3">
        <v>0.20399999999999999</v>
      </c>
      <c r="J128" s="3">
        <v>20</v>
      </c>
      <c r="K128" s="3">
        <f t="shared" si="6"/>
        <v>1</v>
      </c>
      <c r="L128" s="3">
        <f t="shared" si="7"/>
        <v>0</v>
      </c>
      <c r="M128" s="3">
        <f t="shared" si="8"/>
        <v>0</v>
      </c>
      <c r="N128" s="3">
        <v>88.2</v>
      </c>
      <c r="O128" s="3">
        <v>5.37</v>
      </c>
      <c r="P128" s="3">
        <v>1</v>
      </c>
      <c r="Q128" s="3">
        <v>4.9000000000000004</v>
      </c>
      <c r="R128" s="3">
        <f t="shared" si="9"/>
        <v>0</v>
      </c>
      <c r="S128" s="3">
        <f t="shared" si="10"/>
        <v>1</v>
      </c>
      <c r="T128" s="3">
        <f t="shared" si="11"/>
        <v>0</v>
      </c>
    </row>
    <row r="129" spans="1:20">
      <c r="A129" s="3" t="s">
        <v>53</v>
      </c>
      <c r="B129" s="4">
        <v>45748</v>
      </c>
      <c r="C129" s="3" t="s">
        <v>24</v>
      </c>
      <c r="D129" s="3" t="s">
        <v>18</v>
      </c>
      <c r="E129" s="3">
        <v>697155.3</v>
      </c>
      <c r="F129" s="3">
        <v>136408.54</v>
      </c>
      <c r="G129" s="3">
        <v>37828.5</v>
      </c>
      <c r="H129" s="3">
        <v>8221</v>
      </c>
      <c r="I129" s="3">
        <v>9.6000000000000002E-2</v>
      </c>
      <c r="J129" s="3">
        <v>19</v>
      </c>
      <c r="K129" s="3">
        <f t="shared" si="6"/>
        <v>1</v>
      </c>
      <c r="L129" s="3">
        <f t="shared" si="7"/>
        <v>0</v>
      </c>
      <c r="M129" s="3">
        <f t="shared" si="8"/>
        <v>0</v>
      </c>
      <c r="N129" s="3">
        <v>81.5</v>
      </c>
      <c r="O129" s="3">
        <v>3.19</v>
      </c>
      <c r="P129" s="3">
        <v>0</v>
      </c>
      <c r="Q129" s="3">
        <v>4.8</v>
      </c>
      <c r="R129" s="3">
        <f t="shared" si="9"/>
        <v>0</v>
      </c>
      <c r="S129" s="3">
        <f t="shared" si="10"/>
        <v>1</v>
      </c>
      <c r="T129" s="3">
        <f t="shared" si="11"/>
        <v>0</v>
      </c>
    </row>
    <row r="130" spans="1:20">
      <c r="A130" s="3" t="s">
        <v>54</v>
      </c>
      <c r="B130" s="4">
        <v>45658</v>
      </c>
      <c r="C130" s="3" t="s">
        <v>15</v>
      </c>
      <c r="D130" s="3" t="s">
        <v>18</v>
      </c>
      <c r="E130" s="3">
        <v>849018.3</v>
      </c>
      <c r="F130" s="3">
        <v>149035.13</v>
      </c>
      <c r="G130" s="3">
        <v>66250.53</v>
      </c>
      <c r="H130" s="3">
        <v>10618</v>
      </c>
      <c r="I130" s="3">
        <v>0.14199999999999999</v>
      </c>
      <c r="J130" s="3">
        <v>27</v>
      </c>
      <c r="K130" s="3">
        <f t="shared" si="6"/>
        <v>1</v>
      </c>
      <c r="L130" s="3">
        <f t="shared" si="7"/>
        <v>0</v>
      </c>
      <c r="M130" s="3">
        <f t="shared" si="8"/>
        <v>0</v>
      </c>
      <c r="N130" s="3">
        <v>88.3</v>
      </c>
      <c r="O130" s="3">
        <v>1.1000000000000001</v>
      </c>
      <c r="P130" s="3">
        <v>1</v>
      </c>
      <c r="Q130" s="3">
        <v>4.4000000000000004</v>
      </c>
      <c r="R130" s="3">
        <f t="shared" si="9"/>
        <v>1</v>
      </c>
      <c r="S130" s="3">
        <f t="shared" si="10"/>
        <v>0</v>
      </c>
      <c r="T130" s="3">
        <f t="shared" si="11"/>
        <v>0</v>
      </c>
    </row>
    <row r="131" spans="1:20">
      <c r="A131" s="3" t="s">
        <v>54</v>
      </c>
      <c r="B131" s="4">
        <v>45689</v>
      </c>
      <c r="C131" s="3" t="s">
        <v>15</v>
      </c>
      <c r="D131" s="3" t="s">
        <v>18</v>
      </c>
      <c r="E131" s="3">
        <v>801830.35</v>
      </c>
      <c r="F131" s="3">
        <v>114875.32</v>
      </c>
      <c r="G131" s="3">
        <v>68410.929999999993</v>
      </c>
      <c r="H131" s="3">
        <v>10596</v>
      </c>
      <c r="I131" s="3">
        <v>0.20699999999999999</v>
      </c>
      <c r="J131" s="3">
        <v>25</v>
      </c>
      <c r="K131" s="3">
        <f t="shared" ref="K131:K194" si="12">IF($D131="High Street",1,0)</f>
        <v>1</v>
      </c>
      <c r="L131" s="3">
        <f t="shared" ref="L131:L194" si="13">IF($D131="Airport",1,0)</f>
        <v>0</v>
      </c>
      <c r="M131" s="3">
        <f t="shared" ref="M131:M194" si="14">IF($D131="Mall",1,0)</f>
        <v>0</v>
      </c>
      <c r="N131" s="3">
        <v>81.2</v>
      </c>
      <c r="O131" s="3">
        <v>0.21</v>
      </c>
      <c r="P131" s="3">
        <v>0</v>
      </c>
      <c r="Q131" s="3">
        <v>4</v>
      </c>
      <c r="R131" s="3">
        <f t="shared" ref="R131:R194" si="15">IF($C131="East",1,0)</f>
        <v>1</v>
      </c>
      <c r="S131" s="3">
        <f t="shared" ref="S131:S194" si="16">IF($C131="South",1,0)</f>
        <v>0</v>
      </c>
      <c r="T131" s="3">
        <f t="shared" ref="T131:T194" si="17">IF($C131="West",1,0)</f>
        <v>0</v>
      </c>
    </row>
    <row r="132" spans="1:20">
      <c r="A132" s="3" t="s">
        <v>54</v>
      </c>
      <c r="B132" s="4">
        <v>45717</v>
      </c>
      <c r="C132" s="3" t="s">
        <v>15</v>
      </c>
      <c r="D132" s="3" t="s">
        <v>18</v>
      </c>
      <c r="E132" s="3">
        <v>725235.28</v>
      </c>
      <c r="F132" s="3">
        <v>121632.24</v>
      </c>
      <c r="G132" s="3">
        <v>50735.63</v>
      </c>
      <c r="H132" s="3">
        <v>9619</v>
      </c>
      <c r="I132" s="3">
        <v>0.14399999999999999</v>
      </c>
      <c r="J132" s="3">
        <v>19</v>
      </c>
      <c r="K132" s="3">
        <f t="shared" si="12"/>
        <v>1</v>
      </c>
      <c r="L132" s="3">
        <f t="shared" si="13"/>
        <v>0</v>
      </c>
      <c r="M132" s="3">
        <f t="shared" si="14"/>
        <v>0</v>
      </c>
      <c r="N132" s="3">
        <v>93.8</v>
      </c>
      <c r="O132" s="3">
        <v>5.12</v>
      </c>
      <c r="P132" s="3">
        <v>1</v>
      </c>
      <c r="Q132" s="3">
        <v>4.5</v>
      </c>
      <c r="R132" s="3">
        <f t="shared" si="15"/>
        <v>1</v>
      </c>
      <c r="S132" s="3">
        <f t="shared" si="16"/>
        <v>0</v>
      </c>
      <c r="T132" s="3">
        <f t="shared" si="17"/>
        <v>0</v>
      </c>
    </row>
    <row r="133" spans="1:20">
      <c r="A133" s="3" t="s">
        <v>54</v>
      </c>
      <c r="B133" s="4">
        <v>45748</v>
      </c>
      <c r="C133" s="3" t="s">
        <v>15</v>
      </c>
      <c r="D133" s="3" t="s">
        <v>18</v>
      </c>
      <c r="E133" s="3">
        <v>811452.72</v>
      </c>
      <c r="F133" s="3">
        <v>131325.67000000001</v>
      </c>
      <c r="G133" s="3">
        <v>66455.8</v>
      </c>
      <c r="H133" s="3">
        <v>10836</v>
      </c>
      <c r="I133" s="3">
        <v>8.8999999999999996E-2</v>
      </c>
      <c r="J133" s="3">
        <v>25</v>
      </c>
      <c r="K133" s="3">
        <f t="shared" si="12"/>
        <v>1</v>
      </c>
      <c r="L133" s="3">
        <f t="shared" si="13"/>
        <v>0</v>
      </c>
      <c r="M133" s="3">
        <f t="shared" si="14"/>
        <v>0</v>
      </c>
      <c r="N133" s="3">
        <v>85</v>
      </c>
      <c r="O133" s="3">
        <v>9.77</v>
      </c>
      <c r="P133" s="3">
        <v>0</v>
      </c>
      <c r="Q133" s="3">
        <v>4.5</v>
      </c>
      <c r="R133" s="3">
        <f t="shared" si="15"/>
        <v>1</v>
      </c>
      <c r="S133" s="3">
        <f t="shared" si="16"/>
        <v>0</v>
      </c>
      <c r="T133" s="3">
        <f t="shared" si="17"/>
        <v>0</v>
      </c>
    </row>
    <row r="134" spans="1:20">
      <c r="A134" s="3" t="s">
        <v>55</v>
      </c>
      <c r="B134" s="4">
        <v>45658</v>
      </c>
      <c r="C134" s="3" t="s">
        <v>20</v>
      </c>
      <c r="D134" s="3" t="s">
        <v>18</v>
      </c>
      <c r="E134" s="3">
        <v>527300.13</v>
      </c>
      <c r="F134" s="3">
        <v>84197.87</v>
      </c>
      <c r="G134" s="3">
        <v>70276.28</v>
      </c>
      <c r="H134" s="3">
        <v>3043</v>
      </c>
      <c r="I134" s="3">
        <v>7.9000000000000001E-2</v>
      </c>
      <c r="J134" s="3">
        <v>9</v>
      </c>
      <c r="K134" s="3">
        <f t="shared" si="12"/>
        <v>1</v>
      </c>
      <c r="L134" s="3">
        <f t="shared" si="13"/>
        <v>0</v>
      </c>
      <c r="M134" s="3">
        <f t="shared" si="14"/>
        <v>0</v>
      </c>
      <c r="N134" s="3">
        <v>87.9</v>
      </c>
      <c r="O134" s="3">
        <v>3.77</v>
      </c>
      <c r="P134" s="3">
        <v>0</v>
      </c>
      <c r="Q134" s="3">
        <v>4.4000000000000004</v>
      </c>
      <c r="R134" s="3">
        <f t="shared" si="15"/>
        <v>0</v>
      </c>
      <c r="S134" s="3">
        <f t="shared" si="16"/>
        <v>0</v>
      </c>
      <c r="T134" s="3">
        <f t="shared" si="17"/>
        <v>0</v>
      </c>
    </row>
    <row r="135" spans="1:20">
      <c r="A135" s="3" t="s">
        <v>55</v>
      </c>
      <c r="B135" s="4">
        <v>45689</v>
      </c>
      <c r="C135" s="3" t="s">
        <v>20</v>
      </c>
      <c r="D135" s="3" t="s">
        <v>18</v>
      </c>
      <c r="E135" s="3">
        <v>400831.65</v>
      </c>
      <c r="F135" s="3">
        <v>70979.31</v>
      </c>
      <c r="G135" s="3">
        <v>22071.64</v>
      </c>
      <c r="H135" s="3">
        <v>1814</v>
      </c>
      <c r="I135" s="3">
        <v>0.19600000000000001</v>
      </c>
      <c r="J135" s="3">
        <v>8</v>
      </c>
      <c r="K135" s="3">
        <f t="shared" si="12"/>
        <v>1</v>
      </c>
      <c r="L135" s="3">
        <f t="shared" si="13"/>
        <v>0</v>
      </c>
      <c r="M135" s="3">
        <f t="shared" si="14"/>
        <v>0</v>
      </c>
      <c r="N135" s="3">
        <v>81.099999999999994</v>
      </c>
      <c r="O135" s="3">
        <v>0.78</v>
      </c>
      <c r="P135" s="3">
        <v>0</v>
      </c>
      <c r="Q135" s="5">
        <v>3.9</v>
      </c>
      <c r="R135" s="3">
        <f t="shared" si="15"/>
        <v>0</v>
      </c>
      <c r="S135" s="3">
        <f t="shared" si="16"/>
        <v>0</v>
      </c>
      <c r="T135" s="3">
        <f t="shared" si="17"/>
        <v>0</v>
      </c>
    </row>
    <row r="136" spans="1:20">
      <c r="A136" s="3" t="s">
        <v>55</v>
      </c>
      <c r="B136" s="4">
        <v>45717</v>
      </c>
      <c r="C136" s="3" t="s">
        <v>20</v>
      </c>
      <c r="D136" s="3" t="s">
        <v>18</v>
      </c>
      <c r="E136" s="3">
        <v>593247.25</v>
      </c>
      <c r="F136" s="3">
        <v>81240.289999999994</v>
      </c>
      <c r="G136" s="3">
        <v>52285.45</v>
      </c>
      <c r="H136" s="3">
        <v>3618</v>
      </c>
      <c r="I136" s="3">
        <v>8.5999999999999993E-2</v>
      </c>
      <c r="J136" s="3">
        <v>11</v>
      </c>
      <c r="K136" s="3">
        <f t="shared" si="12"/>
        <v>1</v>
      </c>
      <c r="L136" s="3">
        <f t="shared" si="13"/>
        <v>0</v>
      </c>
      <c r="M136" s="3">
        <f t="shared" si="14"/>
        <v>0</v>
      </c>
      <c r="N136" s="3">
        <v>95.6</v>
      </c>
      <c r="O136" s="3">
        <v>5.17</v>
      </c>
      <c r="P136" s="3">
        <v>1</v>
      </c>
      <c r="Q136" s="3">
        <v>4.4000000000000004</v>
      </c>
      <c r="R136" s="3">
        <f t="shared" si="15"/>
        <v>0</v>
      </c>
      <c r="S136" s="3">
        <f t="shared" si="16"/>
        <v>0</v>
      </c>
      <c r="T136" s="3">
        <f t="shared" si="17"/>
        <v>0</v>
      </c>
    </row>
    <row r="137" spans="1:20">
      <c r="A137" s="3" t="s">
        <v>55</v>
      </c>
      <c r="B137" s="4">
        <v>45748</v>
      </c>
      <c r="C137" s="3" t="s">
        <v>20</v>
      </c>
      <c r="D137" s="3" t="s">
        <v>18</v>
      </c>
      <c r="E137" s="3">
        <v>529075.94999999995</v>
      </c>
      <c r="F137" s="3">
        <v>95978.83</v>
      </c>
      <c r="G137" s="3">
        <v>70366.759999999995</v>
      </c>
      <c r="H137" s="3">
        <v>1963</v>
      </c>
      <c r="I137" s="3">
        <v>0.182</v>
      </c>
      <c r="J137" s="3">
        <v>8</v>
      </c>
      <c r="K137" s="3">
        <f t="shared" si="12"/>
        <v>1</v>
      </c>
      <c r="L137" s="3">
        <f t="shared" si="13"/>
        <v>0</v>
      </c>
      <c r="M137" s="3">
        <f t="shared" si="14"/>
        <v>0</v>
      </c>
      <c r="N137" s="3">
        <v>89.8</v>
      </c>
      <c r="O137" s="3">
        <v>3.2</v>
      </c>
      <c r="P137" s="3">
        <v>0</v>
      </c>
      <c r="Q137" s="3">
        <v>4.5999999999999996</v>
      </c>
      <c r="R137" s="3">
        <f t="shared" si="15"/>
        <v>0</v>
      </c>
      <c r="S137" s="3">
        <f t="shared" si="16"/>
        <v>0</v>
      </c>
      <c r="T137" s="3">
        <f t="shared" si="17"/>
        <v>0</v>
      </c>
    </row>
    <row r="138" spans="1:20">
      <c r="A138" s="3" t="s">
        <v>56</v>
      </c>
      <c r="B138" s="4">
        <v>45658</v>
      </c>
      <c r="C138" s="3" t="s">
        <v>24</v>
      </c>
      <c r="D138" s="3" t="s">
        <v>16</v>
      </c>
      <c r="E138" s="3">
        <v>633638.03</v>
      </c>
      <c r="F138" s="3">
        <v>99402.01</v>
      </c>
      <c r="G138" s="3">
        <v>71320.66</v>
      </c>
      <c r="H138" s="3">
        <v>7888</v>
      </c>
      <c r="I138" s="3">
        <v>4.8000000000000001E-2</v>
      </c>
      <c r="J138" s="3">
        <v>20</v>
      </c>
      <c r="K138" s="3">
        <f t="shared" si="12"/>
        <v>0</v>
      </c>
      <c r="L138" s="3">
        <f t="shared" si="13"/>
        <v>0</v>
      </c>
      <c r="M138" s="3">
        <f t="shared" si="14"/>
        <v>0</v>
      </c>
      <c r="N138" s="3">
        <v>78.099999999999994</v>
      </c>
      <c r="O138" s="3">
        <v>3.4</v>
      </c>
      <c r="P138" s="3">
        <v>0</v>
      </c>
      <c r="Q138" s="5">
        <v>3.9</v>
      </c>
      <c r="R138" s="3">
        <f t="shared" si="15"/>
        <v>0</v>
      </c>
      <c r="S138" s="3">
        <f t="shared" si="16"/>
        <v>1</v>
      </c>
      <c r="T138" s="3">
        <f t="shared" si="17"/>
        <v>0</v>
      </c>
    </row>
    <row r="139" spans="1:20">
      <c r="A139" s="3" t="s">
        <v>56</v>
      </c>
      <c r="B139" s="4">
        <v>45689</v>
      </c>
      <c r="C139" s="3" t="s">
        <v>24</v>
      </c>
      <c r="D139" s="3" t="s">
        <v>16</v>
      </c>
      <c r="E139" s="3">
        <v>743348.84</v>
      </c>
      <c r="F139" s="3">
        <v>104186.09</v>
      </c>
      <c r="G139" s="3">
        <v>75109.67</v>
      </c>
      <c r="H139" s="3">
        <v>6244</v>
      </c>
      <c r="I139" s="3">
        <v>7.9000000000000001E-2</v>
      </c>
      <c r="J139" s="3">
        <v>15</v>
      </c>
      <c r="K139" s="3">
        <f t="shared" si="12"/>
        <v>0</v>
      </c>
      <c r="L139" s="3">
        <f t="shared" si="13"/>
        <v>0</v>
      </c>
      <c r="M139" s="3">
        <f t="shared" si="14"/>
        <v>0</v>
      </c>
      <c r="N139" s="3">
        <v>96.3</v>
      </c>
      <c r="O139" s="3">
        <v>7.38</v>
      </c>
      <c r="P139" s="3">
        <v>0</v>
      </c>
      <c r="Q139" s="3">
        <v>3.7</v>
      </c>
      <c r="R139" s="3">
        <f t="shared" si="15"/>
        <v>0</v>
      </c>
      <c r="S139" s="3">
        <f t="shared" si="16"/>
        <v>1</v>
      </c>
      <c r="T139" s="3">
        <f t="shared" si="17"/>
        <v>0</v>
      </c>
    </row>
    <row r="140" spans="1:20">
      <c r="A140" s="3" t="s">
        <v>56</v>
      </c>
      <c r="B140" s="4">
        <v>45717</v>
      </c>
      <c r="C140" s="3" t="s">
        <v>24</v>
      </c>
      <c r="D140" s="3" t="s">
        <v>16</v>
      </c>
      <c r="E140" s="3">
        <v>758827.64</v>
      </c>
      <c r="F140" s="3">
        <v>161439.48000000001</v>
      </c>
      <c r="G140" s="3">
        <v>69779</v>
      </c>
      <c r="H140" s="3">
        <v>6544</v>
      </c>
      <c r="I140" s="3">
        <v>0.152</v>
      </c>
      <c r="J140" s="3">
        <v>18</v>
      </c>
      <c r="K140" s="3">
        <f t="shared" si="12"/>
        <v>0</v>
      </c>
      <c r="L140" s="3">
        <f t="shared" si="13"/>
        <v>0</v>
      </c>
      <c r="M140" s="3">
        <f t="shared" si="14"/>
        <v>0</v>
      </c>
      <c r="N140" s="3">
        <v>90.2</v>
      </c>
      <c r="O140" s="3">
        <v>0.85</v>
      </c>
      <c r="P140" s="3">
        <v>1</v>
      </c>
      <c r="Q140" s="3">
        <v>3.3</v>
      </c>
      <c r="R140" s="3">
        <f t="shared" si="15"/>
        <v>0</v>
      </c>
      <c r="S140" s="3">
        <f t="shared" si="16"/>
        <v>1</v>
      </c>
      <c r="T140" s="3">
        <f t="shared" si="17"/>
        <v>0</v>
      </c>
    </row>
    <row r="141" spans="1:20">
      <c r="A141" s="3" t="s">
        <v>56</v>
      </c>
      <c r="B141" s="4">
        <v>45748</v>
      </c>
      <c r="C141" s="3" t="s">
        <v>24</v>
      </c>
      <c r="D141" s="3" t="s">
        <v>16</v>
      </c>
      <c r="E141" s="3">
        <v>646559.71</v>
      </c>
      <c r="F141" s="3">
        <v>97981.75</v>
      </c>
      <c r="G141" s="3">
        <v>44211.95</v>
      </c>
      <c r="H141" s="3">
        <v>5465</v>
      </c>
      <c r="I141" s="3">
        <v>0.187</v>
      </c>
      <c r="J141" s="3">
        <v>12</v>
      </c>
      <c r="K141" s="3">
        <f t="shared" si="12"/>
        <v>0</v>
      </c>
      <c r="L141" s="3">
        <f t="shared" si="13"/>
        <v>0</v>
      </c>
      <c r="M141" s="3">
        <f t="shared" si="14"/>
        <v>0</v>
      </c>
      <c r="N141" s="3">
        <v>90</v>
      </c>
      <c r="O141" s="3">
        <v>2.89</v>
      </c>
      <c r="P141" s="3">
        <v>0</v>
      </c>
      <c r="Q141" s="3">
        <v>3.6</v>
      </c>
      <c r="R141" s="3">
        <f t="shared" si="15"/>
        <v>0</v>
      </c>
      <c r="S141" s="3">
        <f t="shared" si="16"/>
        <v>1</v>
      </c>
      <c r="T141" s="3">
        <f t="shared" si="17"/>
        <v>0</v>
      </c>
    </row>
    <row r="142" spans="1:20">
      <c r="A142" s="3" t="s">
        <v>57</v>
      </c>
      <c r="B142" s="4">
        <v>45658</v>
      </c>
      <c r="C142" s="3" t="s">
        <v>27</v>
      </c>
      <c r="D142" s="3" t="s">
        <v>18</v>
      </c>
      <c r="E142" s="3">
        <v>715890.53</v>
      </c>
      <c r="F142" s="3">
        <v>109032.15</v>
      </c>
      <c r="G142" s="3">
        <v>51430.31</v>
      </c>
      <c r="H142" s="3">
        <v>6427</v>
      </c>
      <c r="I142" s="3">
        <v>0.23400000000000001</v>
      </c>
      <c r="J142" s="3">
        <v>14</v>
      </c>
      <c r="K142" s="3">
        <f t="shared" si="12"/>
        <v>1</v>
      </c>
      <c r="L142" s="3">
        <f t="shared" si="13"/>
        <v>0</v>
      </c>
      <c r="M142" s="3">
        <f t="shared" si="14"/>
        <v>0</v>
      </c>
      <c r="N142" s="3">
        <v>88.8</v>
      </c>
      <c r="O142" s="3">
        <v>0.77</v>
      </c>
      <c r="P142" s="3">
        <v>0</v>
      </c>
      <c r="Q142" s="3">
        <v>4.0999999999999996</v>
      </c>
      <c r="R142" s="3">
        <f t="shared" si="15"/>
        <v>0</v>
      </c>
      <c r="S142" s="3">
        <f t="shared" si="16"/>
        <v>0</v>
      </c>
      <c r="T142" s="3">
        <f t="shared" si="17"/>
        <v>1</v>
      </c>
    </row>
    <row r="143" spans="1:20">
      <c r="A143" s="3" t="s">
        <v>57</v>
      </c>
      <c r="B143" s="4">
        <v>45689</v>
      </c>
      <c r="C143" s="3" t="s">
        <v>27</v>
      </c>
      <c r="D143" s="3" t="s">
        <v>18</v>
      </c>
      <c r="E143" s="3">
        <v>715097.57</v>
      </c>
      <c r="F143" s="3">
        <v>151875.85999999999</v>
      </c>
      <c r="G143" s="3">
        <v>45706.49</v>
      </c>
      <c r="H143" s="3">
        <v>6704</v>
      </c>
      <c r="I143" s="3">
        <v>3.7999999999999999E-2</v>
      </c>
      <c r="J143" s="3">
        <v>15</v>
      </c>
      <c r="K143" s="3">
        <f t="shared" si="12"/>
        <v>1</v>
      </c>
      <c r="L143" s="3">
        <f t="shared" si="13"/>
        <v>0</v>
      </c>
      <c r="M143" s="3">
        <f t="shared" si="14"/>
        <v>0</v>
      </c>
      <c r="N143" s="3">
        <v>94.2</v>
      </c>
      <c r="O143" s="3">
        <v>2.92</v>
      </c>
      <c r="P143" s="3">
        <v>0</v>
      </c>
      <c r="Q143" s="3">
        <v>4.2</v>
      </c>
      <c r="R143" s="3">
        <f t="shared" si="15"/>
        <v>0</v>
      </c>
      <c r="S143" s="3">
        <f t="shared" si="16"/>
        <v>0</v>
      </c>
      <c r="T143" s="3">
        <f t="shared" si="17"/>
        <v>1</v>
      </c>
    </row>
    <row r="144" spans="1:20">
      <c r="A144" s="3" t="s">
        <v>57</v>
      </c>
      <c r="B144" s="4">
        <v>45717</v>
      </c>
      <c r="C144" s="3" t="s">
        <v>27</v>
      </c>
      <c r="D144" s="3" t="s">
        <v>18</v>
      </c>
      <c r="E144" s="3">
        <v>682639.28</v>
      </c>
      <c r="F144" s="3">
        <v>77557.53</v>
      </c>
      <c r="G144" s="3">
        <v>44034.6</v>
      </c>
      <c r="H144" s="3">
        <v>5645</v>
      </c>
      <c r="I144" s="3">
        <v>6.9000000000000006E-2</v>
      </c>
      <c r="J144" s="3">
        <v>18</v>
      </c>
      <c r="K144" s="3">
        <f t="shared" si="12"/>
        <v>1</v>
      </c>
      <c r="L144" s="3">
        <f t="shared" si="13"/>
        <v>0</v>
      </c>
      <c r="M144" s="3">
        <f t="shared" si="14"/>
        <v>0</v>
      </c>
      <c r="N144" s="3">
        <v>88.5</v>
      </c>
      <c r="O144" s="3">
        <v>3.07</v>
      </c>
      <c r="P144" s="3">
        <v>0</v>
      </c>
      <c r="Q144" s="3">
        <v>3.8</v>
      </c>
      <c r="R144" s="3">
        <f t="shared" si="15"/>
        <v>0</v>
      </c>
      <c r="S144" s="3">
        <f t="shared" si="16"/>
        <v>0</v>
      </c>
      <c r="T144" s="3">
        <f t="shared" si="17"/>
        <v>1</v>
      </c>
    </row>
    <row r="145" spans="1:20">
      <c r="A145" s="3" t="s">
        <v>57</v>
      </c>
      <c r="B145" s="4">
        <v>45748</v>
      </c>
      <c r="C145" s="3" t="s">
        <v>27</v>
      </c>
      <c r="D145" s="3" t="s">
        <v>18</v>
      </c>
      <c r="E145" s="3">
        <v>695098.51</v>
      </c>
      <c r="F145" s="3">
        <v>108192.75</v>
      </c>
      <c r="G145" s="3">
        <v>50198.12</v>
      </c>
      <c r="H145" s="3">
        <v>6089</v>
      </c>
      <c r="I145" s="3">
        <v>0.182</v>
      </c>
      <c r="J145" s="3">
        <v>19</v>
      </c>
      <c r="K145" s="3">
        <f t="shared" si="12"/>
        <v>1</v>
      </c>
      <c r="L145" s="3">
        <f t="shared" si="13"/>
        <v>0</v>
      </c>
      <c r="M145" s="3">
        <f t="shared" si="14"/>
        <v>0</v>
      </c>
      <c r="N145" s="3">
        <v>94</v>
      </c>
      <c r="O145" s="3">
        <v>9.6999999999999993</v>
      </c>
      <c r="P145" s="3">
        <v>0</v>
      </c>
      <c r="Q145" s="3">
        <v>3.9</v>
      </c>
      <c r="R145" s="3">
        <f t="shared" si="15"/>
        <v>0</v>
      </c>
      <c r="S145" s="3">
        <f t="shared" si="16"/>
        <v>0</v>
      </c>
      <c r="T145" s="3">
        <f t="shared" si="17"/>
        <v>1</v>
      </c>
    </row>
    <row r="146" spans="1:20">
      <c r="A146" s="3" t="s">
        <v>58</v>
      </c>
      <c r="B146" s="4">
        <v>45658</v>
      </c>
      <c r="C146" s="3" t="s">
        <v>20</v>
      </c>
      <c r="D146" s="3" t="s">
        <v>16</v>
      </c>
      <c r="E146" s="3">
        <v>577732.56999999995</v>
      </c>
      <c r="F146" s="3">
        <v>93804.27</v>
      </c>
      <c r="G146" s="3">
        <v>70488.2</v>
      </c>
      <c r="H146" s="3">
        <v>4312</v>
      </c>
      <c r="I146" s="3">
        <v>0.16900000000000001</v>
      </c>
      <c r="J146" s="3">
        <v>12</v>
      </c>
      <c r="K146" s="3">
        <f t="shared" si="12"/>
        <v>0</v>
      </c>
      <c r="L146" s="3">
        <f t="shared" si="13"/>
        <v>0</v>
      </c>
      <c r="M146" s="3">
        <f t="shared" si="14"/>
        <v>0</v>
      </c>
      <c r="N146" s="3">
        <v>90.2</v>
      </c>
      <c r="O146" s="3">
        <v>3.71</v>
      </c>
      <c r="P146" s="3">
        <v>0</v>
      </c>
      <c r="Q146" s="3">
        <v>3.2</v>
      </c>
      <c r="R146" s="3">
        <f t="shared" si="15"/>
        <v>0</v>
      </c>
      <c r="S146" s="3">
        <f t="shared" si="16"/>
        <v>0</v>
      </c>
      <c r="T146" s="3">
        <f t="shared" si="17"/>
        <v>0</v>
      </c>
    </row>
    <row r="147" spans="1:20">
      <c r="A147" s="3" t="s">
        <v>58</v>
      </c>
      <c r="B147" s="4">
        <v>45689</v>
      </c>
      <c r="C147" s="3" t="s">
        <v>20</v>
      </c>
      <c r="D147" s="3" t="s">
        <v>16</v>
      </c>
      <c r="E147" s="3">
        <v>537058.32999999996</v>
      </c>
      <c r="F147" s="3">
        <v>93555.71</v>
      </c>
      <c r="G147" s="3">
        <v>50909.27</v>
      </c>
      <c r="H147" s="3">
        <v>3152</v>
      </c>
      <c r="I147" s="3">
        <v>0.06</v>
      </c>
      <c r="J147" s="3">
        <v>13</v>
      </c>
      <c r="K147" s="3">
        <f t="shared" si="12"/>
        <v>0</v>
      </c>
      <c r="L147" s="3">
        <f t="shared" si="13"/>
        <v>0</v>
      </c>
      <c r="M147" s="3">
        <f t="shared" si="14"/>
        <v>0</v>
      </c>
      <c r="N147" s="3">
        <v>93.7</v>
      </c>
      <c r="O147" s="3">
        <v>10.79</v>
      </c>
      <c r="P147" s="3">
        <v>0</v>
      </c>
      <c r="Q147" s="3">
        <v>3.5</v>
      </c>
      <c r="R147" s="3">
        <f t="shared" si="15"/>
        <v>0</v>
      </c>
      <c r="S147" s="3">
        <f t="shared" si="16"/>
        <v>0</v>
      </c>
      <c r="T147" s="3">
        <f t="shared" si="17"/>
        <v>0</v>
      </c>
    </row>
    <row r="148" spans="1:20">
      <c r="A148" s="3" t="s">
        <v>58</v>
      </c>
      <c r="B148" s="4">
        <v>45717</v>
      </c>
      <c r="C148" s="3" t="s">
        <v>20</v>
      </c>
      <c r="D148" s="3" t="s">
        <v>16</v>
      </c>
      <c r="E148" s="3">
        <v>601568.87</v>
      </c>
      <c r="F148" s="3">
        <v>91634.82</v>
      </c>
      <c r="G148" s="3">
        <v>53351.7</v>
      </c>
      <c r="H148" s="3">
        <v>4259</v>
      </c>
      <c r="I148" s="3">
        <v>0.156</v>
      </c>
      <c r="J148" s="3">
        <v>15</v>
      </c>
      <c r="K148" s="3">
        <f t="shared" si="12"/>
        <v>0</v>
      </c>
      <c r="L148" s="3">
        <f t="shared" si="13"/>
        <v>0</v>
      </c>
      <c r="M148" s="3">
        <f t="shared" si="14"/>
        <v>0</v>
      </c>
      <c r="N148" s="3">
        <v>93.7</v>
      </c>
      <c r="O148" s="3">
        <v>6.03</v>
      </c>
      <c r="P148" s="3">
        <v>0</v>
      </c>
      <c r="Q148" s="3">
        <v>3.4</v>
      </c>
      <c r="R148" s="3">
        <f t="shared" si="15"/>
        <v>0</v>
      </c>
      <c r="S148" s="3">
        <f t="shared" si="16"/>
        <v>0</v>
      </c>
      <c r="T148" s="3">
        <f t="shared" si="17"/>
        <v>0</v>
      </c>
    </row>
    <row r="149" spans="1:20">
      <c r="A149" s="3" t="s">
        <v>58</v>
      </c>
      <c r="B149" s="4">
        <v>45748</v>
      </c>
      <c r="C149" s="3" t="s">
        <v>20</v>
      </c>
      <c r="D149" s="3" t="s">
        <v>16</v>
      </c>
      <c r="E149" s="3">
        <v>570964.84</v>
      </c>
      <c r="F149" s="3">
        <v>81331.070000000007</v>
      </c>
      <c r="G149" s="3">
        <v>60322.400000000001</v>
      </c>
      <c r="H149" s="3">
        <v>3350</v>
      </c>
      <c r="I149" s="3">
        <v>0.108</v>
      </c>
      <c r="J149" s="3">
        <v>12</v>
      </c>
      <c r="K149" s="3">
        <f t="shared" si="12"/>
        <v>0</v>
      </c>
      <c r="L149" s="3">
        <f t="shared" si="13"/>
        <v>0</v>
      </c>
      <c r="M149" s="3">
        <f t="shared" si="14"/>
        <v>0</v>
      </c>
      <c r="N149" s="3">
        <v>89.4</v>
      </c>
      <c r="O149" s="3">
        <v>4.92</v>
      </c>
      <c r="P149" s="3">
        <v>0</v>
      </c>
      <c r="Q149" s="3">
        <v>3.4</v>
      </c>
      <c r="R149" s="3">
        <f t="shared" si="15"/>
        <v>0</v>
      </c>
      <c r="S149" s="3">
        <f t="shared" si="16"/>
        <v>0</v>
      </c>
      <c r="T149" s="3">
        <f t="shared" si="17"/>
        <v>0</v>
      </c>
    </row>
    <row r="150" spans="1:20">
      <c r="A150" s="3" t="s">
        <v>59</v>
      </c>
      <c r="B150" s="4">
        <v>45658</v>
      </c>
      <c r="C150" s="3" t="s">
        <v>24</v>
      </c>
      <c r="D150" s="3" t="s">
        <v>28</v>
      </c>
      <c r="E150" s="3">
        <v>614024.91</v>
      </c>
      <c r="F150" s="3">
        <v>84828.93</v>
      </c>
      <c r="G150" s="3">
        <v>51575.68</v>
      </c>
      <c r="H150" s="3">
        <v>5329</v>
      </c>
      <c r="I150" s="3">
        <v>4.7E-2</v>
      </c>
      <c r="J150" s="3">
        <v>17</v>
      </c>
      <c r="K150" s="3">
        <f t="shared" si="12"/>
        <v>0</v>
      </c>
      <c r="L150" s="3">
        <f t="shared" si="13"/>
        <v>0</v>
      </c>
      <c r="M150" s="3">
        <f t="shared" si="14"/>
        <v>1</v>
      </c>
      <c r="N150" s="3">
        <v>88.1</v>
      </c>
      <c r="O150" s="3">
        <v>19.78</v>
      </c>
      <c r="P150" s="3">
        <v>0</v>
      </c>
      <c r="Q150" s="3">
        <v>3.8</v>
      </c>
      <c r="R150" s="3">
        <f t="shared" si="15"/>
        <v>0</v>
      </c>
      <c r="S150" s="3">
        <f t="shared" si="16"/>
        <v>1</v>
      </c>
      <c r="T150" s="3">
        <f t="shared" si="17"/>
        <v>0</v>
      </c>
    </row>
    <row r="151" spans="1:20">
      <c r="A151" s="3" t="s">
        <v>59</v>
      </c>
      <c r="B151" s="4">
        <v>45689</v>
      </c>
      <c r="C151" s="3" t="s">
        <v>24</v>
      </c>
      <c r="D151" s="3" t="s">
        <v>28</v>
      </c>
      <c r="E151" s="3">
        <v>712868.35</v>
      </c>
      <c r="F151" s="3">
        <v>133650.51</v>
      </c>
      <c r="G151" s="3">
        <v>43319.94</v>
      </c>
      <c r="H151" s="3">
        <v>6551</v>
      </c>
      <c r="I151" s="3">
        <v>4.3999999999999997E-2</v>
      </c>
      <c r="J151" s="3">
        <v>13</v>
      </c>
      <c r="K151" s="3">
        <f t="shared" si="12"/>
        <v>0</v>
      </c>
      <c r="L151" s="3">
        <f t="shared" si="13"/>
        <v>0</v>
      </c>
      <c r="M151" s="3">
        <f t="shared" si="14"/>
        <v>1</v>
      </c>
      <c r="N151" s="3">
        <v>99</v>
      </c>
      <c r="O151" s="3">
        <v>5.45</v>
      </c>
      <c r="P151" s="3">
        <v>0</v>
      </c>
      <c r="Q151" s="3">
        <v>4.0999999999999996</v>
      </c>
      <c r="R151" s="3">
        <f t="shared" si="15"/>
        <v>0</v>
      </c>
      <c r="S151" s="3">
        <f t="shared" si="16"/>
        <v>1</v>
      </c>
      <c r="T151" s="3">
        <f t="shared" si="17"/>
        <v>0</v>
      </c>
    </row>
    <row r="152" spans="1:20">
      <c r="A152" s="3" t="s">
        <v>59</v>
      </c>
      <c r="B152" s="4">
        <v>45717</v>
      </c>
      <c r="C152" s="3" t="s">
        <v>24</v>
      </c>
      <c r="D152" s="3" t="s">
        <v>28</v>
      </c>
      <c r="E152" s="3">
        <v>696744.15</v>
      </c>
      <c r="F152" s="3">
        <v>152230.09</v>
      </c>
      <c r="G152" s="3">
        <v>47093.55</v>
      </c>
      <c r="H152" s="3">
        <v>5550</v>
      </c>
      <c r="I152" s="3">
        <v>0.1</v>
      </c>
      <c r="J152" s="3">
        <v>12</v>
      </c>
      <c r="K152" s="3">
        <f t="shared" si="12"/>
        <v>0</v>
      </c>
      <c r="L152" s="3">
        <f t="shared" si="13"/>
        <v>0</v>
      </c>
      <c r="M152" s="3">
        <f t="shared" si="14"/>
        <v>1</v>
      </c>
      <c r="N152" s="3">
        <v>95</v>
      </c>
      <c r="O152" s="3">
        <v>2.33</v>
      </c>
      <c r="P152" s="3">
        <v>1</v>
      </c>
      <c r="Q152" s="3">
        <v>3.7</v>
      </c>
      <c r="R152" s="3">
        <f t="shared" si="15"/>
        <v>0</v>
      </c>
      <c r="S152" s="3">
        <f t="shared" si="16"/>
        <v>1</v>
      </c>
      <c r="T152" s="3">
        <f t="shared" si="17"/>
        <v>0</v>
      </c>
    </row>
    <row r="153" spans="1:20">
      <c r="A153" s="3" t="s">
        <v>59</v>
      </c>
      <c r="B153" s="4">
        <v>45748</v>
      </c>
      <c r="C153" s="3" t="s">
        <v>24</v>
      </c>
      <c r="D153" s="3" t="s">
        <v>28</v>
      </c>
      <c r="E153" s="3">
        <v>725847.99</v>
      </c>
      <c r="F153" s="3">
        <v>122698.73</v>
      </c>
      <c r="G153" s="3">
        <v>71855.09</v>
      </c>
      <c r="H153" s="3">
        <v>5911</v>
      </c>
      <c r="I153" s="3">
        <v>0.19700000000000001</v>
      </c>
      <c r="J153" s="3">
        <v>15</v>
      </c>
      <c r="K153" s="3">
        <f t="shared" si="12"/>
        <v>0</v>
      </c>
      <c r="L153" s="3">
        <f t="shared" si="13"/>
        <v>0</v>
      </c>
      <c r="M153" s="3">
        <f t="shared" si="14"/>
        <v>1</v>
      </c>
      <c r="N153" s="3">
        <v>94.3</v>
      </c>
      <c r="O153" s="3">
        <v>3.55</v>
      </c>
      <c r="P153" s="3">
        <v>0</v>
      </c>
      <c r="Q153" s="3">
        <v>4.0999999999999996</v>
      </c>
      <c r="R153" s="3">
        <f t="shared" si="15"/>
        <v>0</v>
      </c>
      <c r="S153" s="3">
        <f t="shared" si="16"/>
        <v>1</v>
      </c>
      <c r="T153" s="3">
        <f t="shared" si="17"/>
        <v>0</v>
      </c>
    </row>
    <row r="154" spans="1:20">
      <c r="A154" s="3" t="s">
        <v>60</v>
      </c>
      <c r="B154" s="4">
        <v>45658</v>
      </c>
      <c r="C154" s="3" t="s">
        <v>15</v>
      </c>
      <c r="D154" s="3" t="s">
        <v>18</v>
      </c>
      <c r="E154" s="3">
        <v>785028.25</v>
      </c>
      <c r="F154" s="3">
        <v>110726.44</v>
      </c>
      <c r="G154" s="3">
        <v>75645.23</v>
      </c>
      <c r="H154" s="3">
        <v>9674</v>
      </c>
      <c r="I154" s="3">
        <v>0.23400000000000001</v>
      </c>
      <c r="J154" s="3">
        <v>21</v>
      </c>
      <c r="K154" s="3">
        <f t="shared" si="12"/>
        <v>1</v>
      </c>
      <c r="L154" s="3">
        <f t="shared" si="13"/>
        <v>0</v>
      </c>
      <c r="M154" s="3">
        <f t="shared" si="14"/>
        <v>0</v>
      </c>
      <c r="N154" s="3">
        <v>87.4</v>
      </c>
      <c r="O154" s="3">
        <v>0.2</v>
      </c>
      <c r="P154" s="3">
        <v>0</v>
      </c>
      <c r="Q154" s="3">
        <v>4.5</v>
      </c>
      <c r="R154" s="3">
        <f t="shared" si="15"/>
        <v>1</v>
      </c>
      <c r="S154" s="3">
        <f t="shared" si="16"/>
        <v>0</v>
      </c>
      <c r="T154" s="3">
        <f t="shared" si="17"/>
        <v>0</v>
      </c>
    </row>
    <row r="155" spans="1:20">
      <c r="A155" s="3" t="s">
        <v>60</v>
      </c>
      <c r="B155" s="4">
        <v>45689</v>
      </c>
      <c r="C155" s="3" t="s">
        <v>15</v>
      </c>
      <c r="D155" s="3" t="s">
        <v>18</v>
      </c>
      <c r="E155" s="3">
        <v>698492.67</v>
      </c>
      <c r="F155" s="3">
        <v>117319.32</v>
      </c>
      <c r="G155" s="3">
        <v>64374.75</v>
      </c>
      <c r="H155" s="3">
        <v>6740</v>
      </c>
      <c r="I155" s="3">
        <v>0.16900000000000001</v>
      </c>
      <c r="J155" s="3">
        <v>18</v>
      </c>
      <c r="K155" s="3">
        <f t="shared" si="12"/>
        <v>1</v>
      </c>
      <c r="L155" s="3">
        <f t="shared" si="13"/>
        <v>0</v>
      </c>
      <c r="M155" s="3">
        <f t="shared" si="14"/>
        <v>0</v>
      </c>
      <c r="N155" s="3">
        <v>87</v>
      </c>
      <c r="O155" s="3">
        <v>2.09</v>
      </c>
      <c r="P155" s="3">
        <v>0</v>
      </c>
      <c r="Q155" s="3">
        <v>4.2</v>
      </c>
      <c r="R155" s="3">
        <f t="shared" si="15"/>
        <v>1</v>
      </c>
      <c r="S155" s="3">
        <f t="shared" si="16"/>
        <v>0</v>
      </c>
      <c r="T155" s="3">
        <f t="shared" si="17"/>
        <v>0</v>
      </c>
    </row>
    <row r="156" spans="1:20">
      <c r="A156" s="3" t="s">
        <v>60</v>
      </c>
      <c r="B156" s="4">
        <v>45717</v>
      </c>
      <c r="C156" s="3" t="s">
        <v>15</v>
      </c>
      <c r="D156" s="3" t="s">
        <v>18</v>
      </c>
      <c r="E156" s="3">
        <v>685830.24</v>
      </c>
      <c r="F156" s="3">
        <v>128736.18</v>
      </c>
      <c r="G156" s="3">
        <v>61433.84</v>
      </c>
      <c r="H156" s="3">
        <v>7745</v>
      </c>
      <c r="I156" s="3">
        <v>0.18</v>
      </c>
      <c r="J156" s="3">
        <v>16</v>
      </c>
      <c r="K156" s="3">
        <f t="shared" si="12"/>
        <v>1</v>
      </c>
      <c r="L156" s="3">
        <f t="shared" si="13"/>
        <v>0</v>
      </c>
      <c r="M156" s="3">
        <f t="shared" si="14"/>
        <v>0</v>
      </c>
      <c r="N156" s="3">
        <v>90.5</v>
      </c>
      <c r="O156" s="3">
        <v>2.2599999999999998</v>
      </c>
      <c r="P156" s="3">
        <v>0</v>
      </c>
      <c r="Q156" s="3">
        <v>4.2</v>
      </c>
      <c r="R156" s="3">
        <f t="shared" si="15"/>
        <v>1</v>
      </c>
      <c r="S156" s="3">
        <f t="shared" si="16"/>
        <v>0</v>
      </c>
      <c r="T156" s="3">
        <f t="shared" si="17"/>
        <v>0</v>
      </c>
    </row>
    <row r="157" spans="1:20">
      <c r="A157" s="3" t="s">
        <v>60</v>
      </c>
      <c r="B157" s="4">
        <v>45748</v>
      </c>
      <c r="C157" s="3" t="s">
        <v>15</v>
      </c>
      <c r="D157" s="3" t="s">
        <v>18</v>
      </c>
      <c r="E157" s="3">
        <v>702318.94</v>
      </c>
      <c r="F157" s="3">
        <v>112829.29</v>
      </c>
      <c r="G157" s="3">
        <v>42698.14</v>
      </c>
      <c r="H157" s="3">
        <v>7693</v>
      </c>
      <c r="I157" s="3">
        <v>0.187</v>
      </c>
      <c r="J157" s="3">
        <v>19</v>
      </c>
      <c r="K157" s="3">
        <f t="shared" si="12"/>
        <v>1</v>
      </c>
      <c r="L157" s="3">
        <f t="shared" si="13"/>
        <v>0</v>
      </c>
      <c r="M157" s="3">
        <f t="shared" si="14"/>
        <v>0</v>
      </c>
      <c r="N157" s="3">
        <v>90.1</v>
      </c>
      <c r="O157" s="3">
        <v>0.44</v>
      </c>
      <c r="P157" s="3">
        <v>0</v>
      </c>
      <c r="Q157" s="3">
        <v>4.4000000000000004</v>
      </c>
      <c r="R157" s="3">
        <f t="shared" si="15"/>
        <v>1</v>
      </c>
      <c r="S157" s="3">
        <f t="shared" si="16"/>
        <v>0</v>
      </c>
      <c r="T157" s="3">
        <f t="shared" si="17"/>
        <v>0</v>
      </c>
    </row>
    <row r="158" spans="1:20">
      <c r="A158" s="3" t="s">
        <v>61</v>
      </c>
      <c r="B158" s="4">
        <v>45658</v>
      </c>
      <c r="C158" s="3" t="s">
        <v>20</v>
      </c>
      <c r="D158" s="3" t="s">
        <v>28</v>
      </c>
      <c r="E158" s="3">
        <v>700078.32</v>
      </c>
      <c r="F158" s="3">
        <v>123707.58</v>
      </c>
      <c r="G158" s="3">
        <v>86883.31</v>
      </c>
      <c r="H158" s="3">
        <v>6424</v>
      </c>
      <c r="I158" s="3">
        <v>5.7000000000000002E-2</v>
      </c>
      <c r="J158" s="3">
        <v>19</v>
      </c>
      <c r="K158" s="3">
        <f t="shared" si="12"/>
        <v>0</v>
      </c>
      <c r="L158" s="3">
        <f t="shared" si="13"/>
        <v>0</v>
      </c>
      <c r="M158" s="3">
        <f t="shared" si="14"/>
        <v>1</v>
      </c>
      <c r="N158" s="3">
        <v>85.2</v>
      </c>
      <c r="O158" s="3">
        <v>3.08</v>
      </c>
      <c r="P158" s="3">
        <v>0</v>
      </c>
      <c r="Q158" s="3">
        <v>3.9</v>
      </c>
      <c r="R158" s="3">
        <f t="shared" si="15"/>
        <v>0</v>
      </c>
      <c r="S158" s="3">
        <f t="shared" si="16"/>
        <v>0</v>
      </c>
      <c r="T158" s="3">
        <f t="shared" si="17"/>
        <v>0</v>
      </c>
    </row>
    <row r="159" spans="1:20">
      <c r="A159" s="3" t="s">
        <v>61</v>
      </c>
      <c r="B159" s="4">
        <v>45689</v>
      </c>
      <c r="C159" s="3" t="s">
        <v>20</v>
      </c>
      <c r="D159" s="3" t="s">
        <v>28</v>
      </c>
      <c r="E159" s="3">
        <v>602002.31999999995</v>
      </c>
      <c r="F159" s="3">
        <v>110453.28</v>
      </c>
      <c r="G159" s="3">
        <v>41863.08</v>
      </c>
      <c r="H159" s="3">
        <v>5400</v>
      </c>
      <c r="I159" s="3">
        <v>0.114</v>
      </c>
      <c r="J159" s="3">
        <v>11</v>
      </c>
      <c r="K159" s="3">
        <f t="shared" si="12"/>
        <v>0</v>
      </c>
      <c r="L159" s="3">
        <f t="shared" si="13"/>
        <v>0</v>
      </c>
      <c r="M159" s="3">
        <f t="shared" si="14"/>
        <v>1</v>
      </c>
      <c r="N159" s="3">
        <v>91.6</v>
      </c>
      <c r="O159" s="3">
        <v>7.99</v>
      </c>
      <c r="P159" s="3">
        <v>0</v>
      </c>
      <c r="Q159" s="3">
        <v>3</v>
      </c>
      <c r="R159" s="3">
        <f t="shared" si="15"/>
        <v>0</v>
      </c>
      <c r="S159" s="3">
        <f t="shared" si="16"/>
        <v>0</v>
      </c>
      <c r="T159" s="3">
        <f t="shared" si="17"/>
        <v>0</v>
      </c>
    </row>
    <row r="160" spans="1:20">
      <c r="A160" s="3" t="s">
        <v>61</v>
      </c>
      <c r="B160" s="4">
        <v>45717</v>
      </c>
      <c r="C160" s="3" t="s">
        <v>20</v>
      </c>
      <c r="D160" s="3" t="s">
        <v>28</v>
      </c>
      <c r="E160" s="3">
        <v>724216.07</v>
      </c>
      <c r="F160" s="3">
        <v>100627.56</v>
      </c>
      <c r="G160" s="3">
        <v>56918.16</v>
      </c>
      <c r="H160" s="3">
        <v>7015</v>
      </c>
      <c r="I160" s="3">
        <v>0.158</v>
      </c>
      <c r="J160" s="3">
        <v>18</v>
      </c>
      <c r="K160" s="3">
        <f t="shared" si="12"/>
        <v>0</v>
      </c>
      <c r="L160" s="3">
        <f t="shared" si="13"/>
        <v>0</v>
      </c>
      <c r="M160" s="3">
        <f t="shared" si="14"/>
        <v>1</v>
      </c>
      <c r="N160" s="3">
        <v>74.2</v>
      </c>
      <c r="O160" s="3">
        <v>0.2</v>
      </c>
      <c r="P160" s="3">
        <v>0</v>
      </c>
      <c r="Q160" s="3">
        <v>3.4</v>
      </c>
      <c r="R160" s="3">
        <f t="shared" si="15"/>
        <v>0</v>
      </c>
      <c r="S160" s="3">
        <f t="shared" si="16"/>
        <v>0</v>
      </c>
      <c r="T160" s="3">
        <f t="shared" si="17"/>
        <v>0</v>
      </c>
    </row>
    <row r="161" spans="1:20">
      <c r="A161" s="3" t="s">
        <v>61</v>
      </c>
      <c r="B161" s="4">
        <v>45748</v>
      </c>
      <c r="C161" s="3" t="s">
        <v>20</v>
      </c>
      <c r="D161" s="3" t="s">
        <v>28</v>
      </c>
      <c r="E161" s="3">
        <v>620973.03</v>
      </c>
      <c r="F161" s="3">
        <v>72303.850000000006</v>
      </c>
      <c r="G161" s="3">
        <v>23254.57</v>
      </c>
      <c r="H161" s="3">
        <v>3847</v>
      </c>
      <c r="I161" s="3">
        <v>0.159</v>
      </c>
      <c r="J161" s="3">
        <v>12</v>
      </c>
      <c r="K161" s="3">
        <f t="shared" si="12"/>
        <v>0</v>
      </c>
      <c r="L161" s="3">
        <f t="shared" si="13"/>
        <v>0</v>
      </c>
      <c r="M161" s="3">
        <f t="shared" si="14"/>
        <v>1</v>
      </c>
      <c r="N161" s="3">
        <v>93</v>
      </c>
      <c r="O161" s="3">
        <v>5.46</v>
      </c>
      <c r="P161" s="3">
        <v>0</v>
      </c>
      <c r="Q161" s="3">
        <v>3.3</v>
      </c>
      <c r="R161" s="3">
        <f t="shared" si="15"/>
        <v>0</v>
      </c>
      <c r="S161" s="3">
        <f t="shared" si="16"/>
        <v>0</v>
      </c>
      <c r="T161" s="3">
        <f t="shared" si="17"/>
        <v>0</v>
      </c>
    </row>
    <row r="162" spans="1:20">
      <c r="A162" s="3" t="s">
        <v>62</v>
      </c>
      <c r="B162" s="4">
        <v>45658</v>
      </c>
      <c r="C162" s="3" t="s">
        <v>24</v>
      </c>
      <c r="D162" s="3" t="s">
        <v>18</v>
      </c>
      <c r="E162" s="3">
        <v>650480.06000000006</v>
      </c>
      <c r="F162" s="3">
        <v>109012.07</v>
      </c>
      <c r="G162" s="3">
        <v>41443.410000000003</v>
      </c>
      <c r="H162" s="3">
        <v>7455</v>
      </c>
      <c r="I162" s="3">
        <v>0.17499999999999999</v>
      </c>
      <c r="J162" s="3">
        <v>16</v>
      </c>
      <c r="K162" s="3">
        <f t="shared" si="12"/>
        <v>1</v>
      </c>
      <c r="L162" s="3">
        <f t="shared" si="13"/>
        <v>0</v>
      </c>
      <c r="M162" s="3">
        <f t="shared" si="14"/>
        <v>0</v>
      </c>
      <c r="N162" s="3">
        <v>90.1</v>
      </c>
      <c r="O162" s="3">
        <v>4.05</v>
      </c>
      <c r="P162" s="3">
        <v>0</v>
      </c>
      <c r="Q162" s="3">
        <v>4</v>
      </c>
      <c r="R162" s="3">
        <f t="shared" si="15"/>
        <v>0</v>
      </c>
      <c r="S162" s="3">
        <f t="shared" si="16"/>
        <v>1</v>
      </c>
      <c r="T162" s="3">
        <f t="shared" si="17"/>
        <v>0</v>
      </c>
    </row>
    <row r="163" spans="1:20">
      <c r="A163" s="3" t="s">
        <v>62</v>
      </c>
      <c r="B163" s="4">
        <v>45689</v>
      </c>
      <c r="C163" s="3" t="s">
        <v>24</v>
      </c>
      <c r="D163" s="3" t="s">
        <v>18</v>
      </c>
      <c r="E163" s="3">
        <v>778298.88</v>
      </c>
      <c r="F163" s="3">
        <v>130076.72</v>
      </c>
      <c r="G163" s="3">
        <v>48438.85</v>
      </c>
      <c r="H163" s="3">
        <v>6992</v>
      </c>
      <c r="I163" s="3">
        <v>3.4000000000000002E-2</v>
      </c>
      <c r="J163" s="3">
        <v>20</v>
      </c>
      <c r="K163" s="3">
        <f t="shared" si="12"/>
        <v>1</v>
      </c>
      <c r="L163" s="3">
        <f t="shared" si="13"/>
        <v>0</v>
      </c>
      <c r="M163" s="3">
        <f t="shared" si="14"/>
        <v>0</v>
      </c>
      <c r="N163" s="3">
        <v>91</v>
      </c>
      <c r="O163" s="3">
        <v>4.3600000000000003</v>
      </c>
      <c r="P163" s="3">
        <v>0</v>
      </c>
      <c r="Q163" s="3">
        <v>4.2</v>
      </c>
      <c r="R163" s="3">
        <f t="shared" si="15"/>
        <v>0</v>
      </c>
      <c r="S163" s="3">
        <f t="shared" si="16"/>
        <v>1</v>
      </c>
      <c r="T163" s="3">
        <f t="shared" si="17"/>
        <v>0</v>
      </c>
    </row>
    <row r="164" spans="1:20">
      <c r="A164" s="3" t="s">
        <v>62</v>
      </c>
      <c r="B164" s="4">
        <v>45717</v>
      </c>
      <c r="C164" s="3" t="s">
        <v>24</v>
      </c>
      <c r="D164" s="3" t="s">
        <v>18</v>
      </c>
      <c r="E164" s="3">
        <v>677096.71</v>
      </c>
      <c r="F164" s="3">
        <v>97174.11</v>
      </c>
      <c r="G164" s="3">
        <v>57143.3</v>
      </c>
      <c r="H164" s="3">
        <v>8038</v>
      </c>
      <c r="I164" s="3">
        <v>0.193</v>
      </c>
      <c r="J164" s="3">
        <v>17</v>
      </c>
      <c r="K164" s="3">
        <f t="shared" si="12"/>
        <v>1</v>
      </c>
      <c r="L164" s="3">
        <f t="shared" si="13"/>
        <v>0</v>
      </c>
      <c r="M164" s="3">
        <f t="shared" si="14"/>
        <v>0</v>
      </c>
      <c r="N164" s="3">
        <v>72.599999999999994</v>
      </c>
      <c r="O164" s="5">
        <v>4.5599999999999996</v>
      </c>
      <c r="P164" s="3">
        <v>0</v>
      </c>
      <c r="Q164" s="3">
        <v>4.2</v>
      </c>
      <c r="R164" s="3">
        <f t="shared" si="15"/>
        <v>0</v>
      </c>
      <c r="S164" s="3">
        <f t="shared" si="16"/>
        <v>1</v>
      </c>
      <c r="T164" s="3">
        <f t="shared" si="17"/>
        <v>0</v>
      </c>
    </row>
    <row r="165" spans="1:20">
      <c r="A165" s="3" t="s">
        <v>62</v>
      </c>
      <c r="B165" s="4">
        <v>45748</v>
      </c>
      <c r="C165" s="3" t="s">
        <v>24</v>
      </c>
      <c r="D165" s="3" t="s">
        <v>18</v>
      </c>
      <c r="E165" s="3">
        <v>692008.64</v>
      </c>
      <c r="F165" s="3">
        <v>116337.87</v>
      </c>
      <c r="G165" s="3">
        <v>66870.62</v>
      </c>
      <c r="H165" s="3">
        <v>6055</v>
      </c>
      <c r="I165" s="3">
        <v>7.4999999999999997E-2</v>
      </c>
      <c r="J165" s="3">
        <v>19</v>
      </c>
      <c r="K165" s="3">
        <f t="shared" si="12"/>
        <v>1</v>
      </c>
      <c r="L165" s="3">
        <f t="shared" si="13"/>
        <v>0</v>
      </c>
      <c r="M165" s="3">
        <f t="shared" si="14"/>
        <v>0</v>
      </c>
      <c r="N165" s="3">
        <v>93.8</v>
      </c>
      <c r="O165" s="3">
        <v>0.54</v>
      </c>
      <c r="P165" s="3">
        <v>0</v>
      </c>
      <c r="Q165" s="3">
        <v>4.3</v>
      </c>
      <c r="R165" s="3">
        <f t="shared" si="15"/>
        <v>0</v>
      </c>
      <c r="S165" s="3">
        <f t="shared" si="16"/>
        <v>1</v>
      </c>
      <c r="T165" s="3">
        <f t="shared" si="17"/>
        <v>0</v>
      </c>
    </row>
    <row r="166" spans="1:20">
      <c r="A166" s="3" t="s">
        <v>63</v>
      </c>
      <c r="B166" s="4">
        <v>45658</v>
      </c>
      <c r="C166" s="3" t="s">
        <v>20</v>
      </c>
      <c r="D166" s="3" t="s">
        <v>28</v>
      </c>
      <c r="E166" s="3">
        <v>825797.91</v>
      </c>
      <c r="F166" s="3">
        <v>130945.24</v>
      </c>
      <c r="G166" s="3">
        <v>72150.53</v>
      </c>
      <c r="H166" s="3">
        <v>9323</v>
      </c>
      <c r="I166" s="3">
        <v>0.157</v>
      </c>
      <c r="J166" s="3">
        <v>22</v>
      </c>
      <c r="K166" s="3">
        <f t="shared" si="12"/>
        <v>0</v>
      </c>
      <c r="L166" s="3">
        <f t="shared" si="13"/>
        <v>0</v>
      </c>
      <c r="M166" s="3">
        <f t="shared" si="14"/>
        <v>1</v>
      </c>
      <c r="N166" s="3">
        <v>82.9</v>
      </c>
      <c r="O166" s="3">
        <v>11.37</v>
      </c>
      <c r="P166" s="3">
        <v>1</v>
      </c>
      <c r="Q166" s="3">
        <v>4.3</v>
      </c>
      <c r="R166" s="3">
        <f t="shared" si="15"/>
        <v>0</v>
      </c>
      <c r="S166" s="3">
        <f t="shared" si="16"/>
        <v>0</v>
      </c>
      <c r="T166" s="3">
        <f t="shared" si="17"/>
        <v>0</v>
      </c>
    </row>
    <row r="167" spans="1:20">
      <c r="A167" s="3" t="s">
        <v>63</v>
      </c>
      <c r="B167" s="4">
        <v>45689</v>
      </c>
      <c r="C167" s="3" t="s">
        <v>20</v>
      </c>
      <c r="D167" s="3" t="s">
        <v>28</v>
      </c>
      <c r="E167" s="3">
        <v>706285.52</v>
      </c>
      <c r="F167" s="3">
        <v>138014.72</v>
      </c>
      <c r="G167" s="3">
        <v>35303.300000000003</v>
      </c>
      <c r="H167" s="3">
        <v>8789</v>
      </c>
      <c r="I167" s="3">
        <v>0.123</v>
      </c>
      <c r="J167" s="3">
        <v>22</v>
      </c>
      <c r="K167" s="3">
        <f t="shared" si="12"/>
        <v>0</v>
      </c>
      <c r="L167" s="3">
        <f t="shared" si="13"/>
        <v>0</v>
      </c>
      <c r="M167" s="3">
        <f t="shared" si="14"/>
        <v>1</v>
      </c>
      <c r="N167" s="3">
        <v>86.1</v>
      </c>
      <c r="O167" s="3">
        <v>9.43</v>
      </c>
      <c r="P167" s="3">
        <v>0</v>
      </c>
      <c r="Q167" s="3">
        <v>4.2</v>
      </c>
      <c r="R167" s="3">
        <f t="shared" si="15"/>
        <v>0</v>
      </c>
      <c r="S167" s="3">
        <f t="shared" si="16"/>
        <v>0</v>
      </c>
      <c r="T167" s="3">
        <f t="shared" si="17"/>
        <v>0</v>
      </c>
    </row>
    <row r="168" spans="1:20">
      <c r="A168" s="3" t="s">
        <v>63</v>
      </c>
      <c r="B168" s="4">
        <v>45717</v>
      </c>
      <c r="C168" s="3" t="s">
        <v>20</v>
      </c>
      <c r="D168" s="3" t="s">
        <v>28</v>
      </c>
      <c r="E168" s="3">
        <v>665534.69999999995</v>
      </c>
      <c r="F168" s="3">
        <v>113167.73</v>
      </c>
      <c r="G168" s="3">
        <v>30301.86</v>
      </c>
      <c r="H168" s="3">
        <v>6939</v>
      </c>
      <c r="I168" s="3">
        <v>0.09</v>
      </c>
      <c r="J168" s="3">
        <v>16</v>
      </c>
      <c r="K168" s="3">
        <f t="shared" si="12"/>
        <v>0</v>
      </c>
      <c r="L168" s="3">
        <f t="shared" si="13"/>
        <v>0</v>
      </c>
      <c r="M168" s="3">
        <f t="shared" si="14"/>
        <v>1</v>
      </c>
      <c r="N168" s="3">
        <v>90.3</v>
      </c>
      <c r="O168" s="3">
        <v>3.49</v>
      </c>
      <c r="P168" s="3">
        <v>0</v>
      </c>
      <c r="Q168" s="3">
        <v>4</v>
      </c>
      <c r="R168" s="3">
        <f t="shared" si="15"/>
        <v>0</v>
      </c>
      <c r="S168" s="3">
        <f t="shared" si="16"/>
        <v>0</v>
      </c>
      <c r="T168" s="3">
        <f t="shared" si="17"/>
        <v>0</v>
      </c>
    </row>
    <row r="169" spans="1:20">
      <c r="A169" s="3" t="s">
        <v>63</v>
      </c>
      <c r="B169" s="4">
        <v>45748</v>
      </c>
      <c r="C169" s="3" t="s">
        <v>20</v>
      </c>
      <c r="D169" s="3" t="s">
        <v>28</v>
      </c>
      <c r="E169" s="3">
        <v>820729.29</v>
      </c>
      <c r="F169" s="3">
        <v>159325.47</v>
      </c>
      <c r="G169" s="3">
        <v>78432.14</v>
      </c>
      <c r="H169" s="3">
        <v>9440</v>
      </c>
      <c r="I169" s="3">
        <v>0.126</v>
      </c>
      <c r="J169" s="3">
        <v>23</v>
      </c>
      <c r="K169" s="3">
        <f t="shared" si="12"/>
        <v>0</v>
      </c>
      <c r="L169" s="3">
        <f t="shared" si="13"/>
        <v>0</v>
      </c>
      <c r="M169" s="3">
        <f t="shared" si="14"/>
        <v>1</v>
      </c>
      <c r="N169" s="3">
        <v>89.2</v>
      </c>
      <c r="O169" s="3">
        <v>7.86</v>
      </c>
      <c r="P169" s="3">
        <v>0</v>
      </c>
      <c r="Q169" s="3">
        <v>4.0999999999999996</v>
      </c>
      <c r="R169" s="3">
        <f t="shared" si="15"/>
        <v>0</v>
      </c>
      <c r="S169" s="3">
        <f t="shared" si="16"/>
        <v>0</v>
      </c>
      <c r="T169" s="3">
        <f t="shared" si="17"/>
        <v>0</v>
      </c>
    </row>
    <row r="170" spans="1:20">
      <c r="A170" s="3" t="s">
        <v>64</v>
      </c>
      <c r="B170" s="4">
        <v>45658</v>
      </c>
      <c r="C170" s="3" t="s">
        <v>15</v>
      </c>
      <c r="D170" s="3" t="s">
        <v>16</v>
      </c>
      <c r="E170" s="3">
        <v>739831.73</v>
      </c>
      <c r="F170" s="3">
        <v>119490.21</v>
      </c>
      <c r="G170" s="3">
        <v>62059.18</v>
      </c>
      <c r="H170" s="3">
        <v>9374</v>
      </c>
      <c r="I170" s="3">
        <v>0.13600000000000001</v>
      </c>
      <c r="J170" s="3">
        <v>25</v>
      </c>
      <c r="K170" s="3">
        <f t="shared" si="12"/>
        <v>0</v>
      </c>
      <c r="L170" s="3">
        <f t="shared" si="13"/>
        <v>0</v>
      </c>
      <c r="M170" s="3">
        <f t="shared" si="14"/>
        <v>0</v>
      </c>
      <c r="N170" s="3">
        <v>87.1</v>
      </c>
      <c r="O170" s="3">
        <v>12.55</v>
      </c>
      <c r="P170" s="3">
        <v>0</v>
      </c>
      <c r="Q170" s="3">
        <v>4.9000000000000004</v>
      </c>
      <c r="R170" s="3">
        <f t="shared" si="15"/>
        <v>1</v>
      </c>
      <c r="S170" s="3">
        <f t="shared" si="16"/>
        <v>0</v>
      </c>
      <c r="T170" s="3">
        <f t="shared" si="17"/>
        <v>0</v>
      </c>
    </row>
    <row r="171" spans="1:20">
      <c r="A171" s="3" t="s">
        <v>64</v>
      </c>
      <c r="B171" s="4">
        <v>45689</v>
      </c>
      <c r="C171" s="3" t="s">
        <v>15</v>
      </c>
      <c r="D171" s="3" t="s">
        <v>16</v>
      </c>
      <c r="E171" s="3">
        <v>593637.14</v>
      </c>
      <c r="F171" s="3">
        <v>106648.14</v>
      </c>
      <c r="G171" s="3">
        <v>32834.480000000003</v>
      </c>
      <c r="H171" s="3">
        <v>7576</v>
      </c>
      <c r="I171" s="3">
        <v>9.9000000000000005E-2</v>
      </c>
      <c r="J171" s="3">
        <v>15</v>
      </c>
      <c r="K171" s="3">
        <f t="shared" si="12"/>
        <v>0</v>
      </c>
      <c r="L171" s="3">
        <f t="shared" si="13"/>
        <v>0</v>
      </c>
      <c r="M171" s="3">
        <f t="shared" si="14"/>
        <v>0</v>
      </c>
      <c r="N171" s="3">
        <v>84.1</v>
      </c>
      <c r="O171" s="3">
        <v>3.48</v>
      </c>
      <c r="P171" s="3">
        <v>0</v>
      </c>
      <c r="Q171" s="3">
        <v>5</v>
      </c>
      <c r="R171" s="3">
        <f t="shared" si="15"/>
        <v>1</v>
      </c>
      <c r="S171" s="3">
        <f t="shared" si="16"/>
        <v>0</v>
      </c>
      <c r="T171" s="3">
        <f t="shared" si="17"/>
        <v>0</v>
      </c>
    </row>
    <row r="172" spans="1:20">
      <c r="A172" s="3" t="s">
        <v>64</v>
      </c>
      <c r="B172" s="4">
        <v>45717</v>
      </c>
      <c r="C172" s="3" t="s">
        <v>15</v>
      </c>
      <c r="D172" s="3" t="s">
        <v>16</v>
      </c>
      <c r="E172" s="3">
        <v>769702.76</v>
      </c>
      <c r="F172" s="3">
        <v>158697</v>
      </c>
      <c r="G172" s="3">
        <v>50825.08</v>
      </c>
      <c r="H172" s="3">
        <v>8949</v>
      </c>
      <c r="I172" s="3">
        <v>0.157</v>
      </c>
      <c r="J172" s="3">
        <v>21</v>
      </c>
      <c r="K172" s="3">
        <f t="shared" si="12"/>
        <v>0</v>
      </c>
      <c r="L172" s="3">
        <f t="shared" si="13"/>
        <v>0</v>
      </c>
      <c r="M172" s="3">
        <f t="shared" si="14"/>
        <v>0</v>
      </c>
      <c r="N172" s="3">
        <v>84.7</v>
      </c>
      <c r="O172" s="3">
        <v>7.73</v>
      </c>
      <c r="P172" s="3">
        <v>0</v>
      </c>
      <c r="Q172" s="3">
        <v>4.9000000000000004</v>
      </c>
      <c r="R172" s="3">
        <f t="shared" si="15"/>
        <v>1</v>
      </c>
      <c r="S172" s="3">
        <f t="shared" si="16"/>
        <v>0</v>
      </c>
      <c r="T172" s="3">
        <f t="shared" si="17"/>
        <v>0</v>
      </c>
    </row>
    <row r="173" spans="1:20">
      <c r="A173" s="3" t="s">
        <v>64</v>
      </c>
      <c r="B173" s="4">
        <v>45748</v>
      </c>
      <c r="C173" s="3" t="s">
        <v>15</v>
      </c>
      <c r="D173" s="3" t="s">
        <v>16</v>
      </c>
      <c r="E173" s="3">
        <v>679731.57</v>
      </c>
      <c r="F173" s="3">
        <v>121546.42</v>
      </c>
      <c r="G173" s="3">
        <v>36606.51</v>
      </c>
      <c r="H173" s="3">
        <v>7671</v>
      </c>
      <c r="I173" s="3">
        <v>0.11799999999999999</v>
      </c>
      <c r="J173" s="3">
        <v>18</v>
      </c>
      <c r="K173" s="3">
        <f t="shared" si="12"/>
        <v>0</v>
      </c>
      <c r="L173" s="3">
        <f t="shared" si="13"/>
        <v>0</v>
      </c>
      <c r="M173" s="3">
        <f t="shared" si="14"/>
        <v>0</v>
      </c>
      <c r="N173" s="3">
        <v>89.8</v>
      </c>
      <c r="O173" s="3">
        <v>0.25</v>
      </c>
      <c r="P173" s="3">
        <v>0</v>
      </c>
      <c r="Q173" s="3">
        <v>4.4000000000000004</v>
      </c>
      <c r="R173" s="3">
        <f t="shared" si="15"/>
        <v>1</v>
      </c>
      <c r="S173" s="3">
        <f t="shared" si="16"/>
        <v>0</v>
      </c>
      <c r="T173" s="3">
        <f t="shared" si="17"/>
        <v>0</v>
      </c>
    </row>
    <row r="174" spans="1:20">
      <c r="A174" s="3" t="s">
        <v>65</v>
      </c>
      <c r="B174" s="4">
        <v>45658</v>
      </c>
      <c r="C174" s="3" t="s">
        <v>15</v>
      </c>
      <c r="D174" s="3" t="s">
        <v>16</v>
      </c>
      <c r="E174" s="3">
        <v>780344.18</v>
      </c>
      <c r="F174" s="3">
        <v>118239.09</v>
      </c>
      <c r="G174" s="3">
        <v>65237.79</v>
      </c>
      <c r="H174" s="3">
        <v>8741</v>
      </c>
      <c r="I174" s="3">
        <v>0.157</v>
      </c>
      <c r="J174" s="3">
        <v>20</v>
      </c>
      <c r="K174" s="3">
        <f t="shared" si="12"/>
        <v>0</v>
      </c>
      <c r="L174" s="3">
        <f t="shared" si="13"/>
        <v>0</v>
      </c>
      <c r="M174" s="3">
        <f t="shared" si="14"/>
        <v>0</v>
      </c>
      <c r="N174" s="3">
        <v>94.4</v>
      </c>
      <c r="O174" s="3">
        <v>6.43</v>
      </c>
      <c r="P174" s="3">
        <v>0</v>
      </c>
      <c r="Q174" s="3">
        <v>3.3</v>
      </c>
      <c r="R174" s="3">
        <f t="shared" si="15"/>
        <v>1</v>
      </c>
      <c r="S174" s="3">
        <f t="shared" si="16"/>
        <v>0</v>
      </c>
      <c r="T174" s="3">
        <f t="shared" si="17"/>
        <v>0</v>
      </c>
    </row>
    <row r="175" spans="1:20">
      <c r="A175" s="3" t="s">
        <v>65</v>
      </c>
      <c r="B175" s="4">
        <v>45689</v>
      </c>
      <c r="C175" s="3" t="s">
        <v>15</v>
      </c>
      <c r="D175" s="3" t="s">
        <v>16</v>
      </c>
      <c r="E175" s="3">
        <v>721364.11</v>
      </c>
      <c r="F175" s="3">
        <v>147272.81</v>
      </c>
      <c r="G175" s="3">
        <v>43645.98</v>
      </c>
      <c r="H175" s="3">
        <v>9480</v>
      </c>
      <c r="I175" s="3">
        <v>0.109</v>
      </c>
      <c r="J175" s="3">
        <v>22</v>
      </c>
      <c r="K175" s="3">
        <f t="shared" si="12"/>
        <v>0</v>
      </c>
      <c r="L175" s="3">
        <f t="shared" si="13"/>
        <v>0</v>
      </c>
      <c r="M175" s="3">
        <f t="shared" si="14"/>
        <v>0</v>
      </c>
      <c r="N175" s="3">
        <v>89</v>
      </c>
      <c r="O175" s="3">
        <v>2.11</v>
      </c>
      <c r="P175" s="3">
        <v>0</v>
      </c>
      <c r="Q175" s="3">
        <v>3.1</v>
      </c>
      <c r="R175" s="3">
        <f t="shared" si="15"/>
        <v>1</v>
      </c>
      <c r="S175" s="3">
        <f t="shared" si="16"/>
        <v>0</v>
      </c>
      <c r="T175" s="3">
        <f t="shared" si="17"/>
        <v>0</v>
      </c>
    </row>
    <row r="176" spans="1:20">
      <c r="A176" s="3" t="s">
        <v>65</v>
      </c>
      <c r="B176" s="4">
        <v>45717</v>
      </c>
      <c r="C176" s="3" t="s">
        <v>15</v>
      </c>
      <c r="D176" s="3" t="s">
        <v>16</v>
      </c>
      <c r="E176" s="3">
        <v>758138.29</v>
      </c>
      <c r="F176" s="3">
        <v>132975.26</v>
      </c>
      <c r="G176" s="3">
        <v>68040.149999999994</v>
      </c>
      <c r="H176" s="3">
        <v>9826</v>
      </c>
      <c r="I176" s="3">
        <v>0.125</v>
      </c>
      <c r="J176" s="3">
        <v>20</v>
      </c>
      <c r="K176" s="3">
        <f t="shared" si="12"/>
        <v>0</v>
      </c>
      <c r="L176" s="3">
        <f t="shared" si="13"/>
        <v>0</v>
      </c>
      <c r="M176" s="3">
        <f t="shared" si="14"/>
        <v>0</v>
      </c>
      <c r="N176" s="3">
        <v>83.9</v>
      </c>
      <c r="O176" s="3">
        <v>9.1199999999999992</v>
      </c>
      <c r="P176" s="3">
        <v>0</v>
      </c>
      <c r="Q176" s="3">
        <v>3.6</v>
      </c>
      <c r="R176" s="3">
        <f t="shared" si="15"/>
        <v>1</v>
      </c>
      <c r="S176" s="3">
        <f t="shared" si="16"/>
        <v>0</v>
      </c>
      <c r="T176" s="3">
        <f t="shared" si="17"/>
        <v>0</v>
      </c>
    </row>
    <row r="177" spans="1:20">
      <c r="A177" s="3" t="s">
        <v>65</v>
      </c>
      <c r="B177" s="4">
        <v>45748</v>
      </c>
      <c r="C177" s="3" t="s">
        <v>15</v>
      </c>
      <c r="D177" s="3" t="s">
        <v>16</v>
      </c>
      <c r="E177" s="3">
        <v>804264</v>
      </c>
      <c r="F177" s="3">
        <v>167117.91</v>
      </c>
      <c r="G177" s="3">
        <v>63043.94</v>
      </c>
      <c r="H177" s="3">
        <v>10402</v>
      </c>
      <c r="I177" s="3">
        <v>0.159</v>
      </c>
      <c r="J177" s="3">
        <v>23</v>
      </c>
      <c r="K177" s="3">
        <f t="shared" si="12"/>
        <v>0</v>
      </c>
      <c r="L177" s="3">
        <f t="shared" si="13"/>
        <v>0</v>
      </c>
      <c r="M177" s="3">
        <f t="shared" si="14"/>
        <v>0</v>
      </c>
      <c r="N177" s="3">
        <v>93.9</v>
      </c>
      <c r="O177" s="3">
        <v>2.71</v>
      </c>
      <c r="P177" s="3">
        <v>0</v>
      </c>
      <c r="Q177" s="3">
        <v>3.1</v>
      </c>
      <c r="R177" s="3">
        <f t="shared" si="15"/>
        <v>1</v>
      </c>
      <c r="S177" s="3">
        <f t="shared" si="16"/>
        <v>0</v>
      </c>
      <c r="T177" s="3">
        <f t="shared" si="17"/>
        <v>0</v>
      </c>
    </row>
    <row r="178" spans="1:20">
      <c r="A178" s="3" t="s">
        <v>66</v>
      </c>
      <c r="B178" s="4">
        <v>45658</v>
      </c>
      <c r="C178" s="3" t="s">
        <v>27</v>
      </c>
      <c r="D178" s="3" t="s">
        <v>21</v>
      </c>
      <c r="E178" s="3">
        <v>887537.75</v>
      </c>
      <c r="F178" s="3">
        <v>160362.92000000001</v>
      </c>
      <c r="G178" s="3">
        <v>67494.09</v>
      </c>
      <c r="H178" s="3">
        <v>12361</v>
      </c>
      <c r="I178" s="3">
        <v>4.5999999999999999E-2</v>
      </c>
      <c r="J178" s="3">
        <v>24</v>
      </c>
      <c r="K178" s="3">
        <f t="shared" si="12"/>
        <v>0</v>
      </c>
      <c r="L178" s="3">
        <f t="shared" si="13"/>
        <v>1</v>
      </c>
      <c r="M178" s="3">
        <f t="shared" si="14"/>
        <v>0</v>
      </c>
      <c r="N178" s="3">
        <v>76.599999999999994</v>
      </c>
      <c r="O178" s="3">
        <v>3.65</v>
      </c>
      <c r="P178" s="3">
        <v>1</v>
      </c>
      <c r="Q178" s="3">
        <v>3.7</v>
      </c>
      <c r="R178" s="3">
        <f t="shared" si="15"/>
        <v>0</v>
      </c>
      <c r="S178" s="3">
        <f t="shared" si="16"/>
        <v>0</v>
      </c>
      <c r="T178" s="3">
        <f t="shared" si="17"/>
        <v>1</v>
      </c>
    </row>
    <row r="179" spans="1:20">
      <c r="A179" s="3" t="s">
        <v>66</v>
      </c>
      <c r="B179" s="4">
        <v>45689</v>
      </c>
      <c r="C179" s="3" t="s">
        <v>27</v>
      </c>
      <c r="D179" s="3" t="s">
        <v>21</v>
      </c>
      <c r="E179" s="3">
        <v>783582</v>
      </c>
      <c r="F179" s="3">
        <v>130670.93</v>
      </c>
      <c r="G179" s="3">
        <v>29389.32</v>
      </c>
      <c r="H179" s="3">
        <v>7925</v>
      </c>
      <c r="I179" s="3">
        <v>0.17699999999999999</v>
      </c>
      <c r="J179" s="3">
        <v>21</v>
      </c>
      <c r="K179" s="3">
        <f t="shared" si="12"/>
        <v>0</v>
      </c>
      <c r="L179" s="3">
        <f t="shared" si="13"/>
        <v>1</v>
      </c>
      <c r="M179" s="3">
        <f t="shared" si="14"/>
        <v>0</v>
      </c>
      <c r="N179" s="3">
        <v>90.9</v>
      </c>
      <c r="O179" s="3">
        <v>7.86</v>
      </c>
      <c r="P179" s="3">
        <v>0</v>
      </c>
      <c r="Q179" s="3">
        <v>4</v>
      </c>
      <c r="R179" s="3">
        <f t="shared" si="15"/>
        <v>0</v>
      </c>
      <c r="S179" s="3">
        <f t="shared" si="16"/>
        <v>0</v>
      </c>
      <c r="T179" s="3">
        <f t="shared" si="17"/>
        <v>1</v>
      </c>
    </row>
    <row r="180" spans="1:20">
      <c r="A180" s="3" t="s">
        <v>66</v>
      </c>
      <c r="B180" s="4">
        <v>45717</v>
      </c>
      <c r="C180" s="3" t="s">
        <v>27</v>
      </c>
      <c r="D180" s="3" t="s">
        <v>21</v>
      </c>
      <c r="E180" s="3">
        <v>781955.52</v>
      </c>
      <c r="F180" s="3">
        <v>152578.71</v>
      </c>
      <c r="G180" s="3">
        <v>40535.089999999997</v>
      </c>
      <c r="H180" s="3">
        <v>8870</v>
      </c>
      <c r="I180" s="3">
        <v>4.1000000000000002E-2</v>
      </c>
      <c r="J180" s="3">
        <v>21</v>
      </c>
      <c r="K180" s="3">
        <f t="shared" si="12"/>
        <v>0</v>
      </c>
      <c r="L180" s="3">
        <f t="shared" si="13"/>
        <v>1</v>
      </c>
      <c r="M180" s="3">
        <f t="shared" si="14"/>
        <v>0</v>
      </c>
      <c r="N180" s="3">
        <v>86.6</v>
      </c>
      <c r="O180" s="3">
        <v>0.3</v>
      </c>
      <c r="P180" s="3">
        <v>0</v>
      </c>
      <c r="Q180" s="3">
        <v>4.0999999999999996</v>
      </c>
      <c r="R180" s="3">
        <f t="shared" si="15"/>
        <v>0</v>
      </c>
      <c r="S180" s="3">
        <f t="shared" si="16"/>
        <v>0</v>
      </c>
      <c r="T180" s="3">
        <f t="shared" si="17"/>
        <v>1</v>
      </c>
    </row>
    <row r="181" spans="1:20">
      <c r="A181" s="3" t="s">
        <v>66</v>
      </c>
      <c r="B181" s="4">
        <v>45748</v>
      </c>
      <c r="C181" s="3" t="s">
        <v>27</v>
      </c>
      <c r="D181" s="3" t="s">
        <v>21</v>
      </c>
      <c r="E181" s="3">
        <v>898031.04</v>
      </c>
      <c r="F181" s="3">
        <v>138666.5</v>
      </c>
      <c r="G181" s="3">
        <v>74881.56</v>
      </c>
      <c r="H181" s="3">
        <v>9999</v>
      </c>
      <c r="I181" s="3">
        <v>1.2999999999999999E-2</v>
      </c>
      <c r="J181" s="3">
        <v>20</v>
      </c>
      <c r="K181" s="3">
        <f t="shared" si="12"/>
        <v>0</v>
      </c>
      <c r="L181" s="3">
        <f t="shared" si="13"/>
        <v>1</v>
      </c>
      <c r="M181" s="3">
        <f t="shared" si="14"/>
        <v>0</v>
      </c>
      <c r="N181" s="3">
        <v>89.6</v>
      </c>
      <c r="O181" s="3">
        <v>8.44</v>
      </c>
      <c r="P181" s="3">
        <v>0</v>
      </c>
      <c r="Q181" s="3">
        <v>4.0999999999999996</v>
      </c>
      <c r="R181" s="3">
        <f t="shared" si="15"/>
        <v>0</v>
      </c>
      <c r="S181" s="3">
        <f t="shared" si="16"/>
        <v>0</v>
      </c>
      <c r="T181" s="3">
        <f t="shared" si="17"/>
        <v>1</v>
      </c>
    </row>
    <row r="182" spans="1:20">
      <c r="A182" s="3" t="s">
        <v>67</v>
      </c>
      <c r="B182" s="4">
        <v>45658</v>
      </c>
      <c r="C182" s="3" t="s">
        <v>27</v>
      </c>
      <c r="D182" s="3" t="s">
        <v>16</v>
      </c>
      <c r="E182" s="3">
        <v>855341.28</v>
      </c>
      <c r="F182" s="3">
        <v>175823.8</v>
      </c>
      <c r="G182" s="3">
        <v>68491.11</v>
      </c>
      <c r="H182" s="3">
        <v>11154</v>
      </c>
      <c r="I182" s="3">
        <v>1E-3</v>
      </c>
      <c r="J182" s="3">
        <v>24</v>
      </c>
      <c r="K182" s="3">
        <f t="shared" si="12"/>
        <v>0</v>
      </c>
      <c r="L182" s="3">
        <f t="shared" si="13"/>
        <v>0</v>
      </c>
      <c r="M182" s="3">
        <f t="shared" si="14"/>
        <v>0</v>
      </c>
      <c r="N182" s="3">
        <v>89.4</v>
      </c>
      <c r="O182" s="3">
        <v>5.27</v>
      </c>
      <c r="P182" s="3">
        <v>1</v>
      </c>
      <c r="Q182" s="3">
        <v>3.9</v>
      </c>
      <c r="R182" s="3">
        <f t="shared" si="15"/>
        <v>0</v>
      </c>
      <c r="S182" s="3">
        <f t="shared" si="16"/>
        <v>0</v>
      </c>
      <c r="T182" s="3">
        <f t="shared" si="17"/>
        <v>1</v>
      </c>
    </row>
    <row r="183" spans="1:20">
      <c r="A183" s="3" t="s">
        <v>67</v>
      </c>
      <c r="B183" s="4">
        <v>45689</v>
      </c>
      <c r="C183" s="3" t="s">
        <v>27</v>
      </c>
      <c r="D183" s="3" t="s">
        <v>16</v>
      </c>
      <c r="E183" s="3">
        <v>751393.88</v>
      </c>
      <c r="F183" s="3">
        <v>91480.320000000007</v>
      </c>
      <c r="G183" s="3">
        <v>45209.25</v>
      </c>
      <c r="H183" s="3">
        <v>9287</v>
      </c>
      <c r="I183" s="3">
        <v>0.14099999999999999</v>
      </c>
      <c r="J183" s="3">
        <v>22</v>
      </c>
      <c r="K183" s="3">
        <f t="shared" si="12"/>
        <v>0</v>
      </c>
      <c r="L183" s="3">
        <f t="shared" si="13"/>
        <v>0</v>
      </c>
      <c r="M183" s="3">
        <f t="shared" si="14"/>
        <v>0</v>
      </c>
      <c r="N183" s="3">
        <v>86.4</v>
      </c>
      <c r="O183" s="3">
        <v>13.22</v>
      </c>
      <c r="P183" s="3">
        <v>0</v>
      </c>
      <c r="Q183" s="3">
        <v>3.6</v>
      </c>
      <c r="R183" s="3">
        <f t="shared" si="15"/>
        <v>0</v>
      </c>
      <c r="S183" s="3">
        <f t="shared" si="16"/>
        <v>0</v>
      </c>
      <c r="T183" s="3">
        <f t="shared" si="17"/>
        <v>1</v>
      </c>
    </row>
    <row r="184" spans="1:20">
      <c r="A184" s="3" t="s">
        <v>67</v>
      </c>
      <c r="B184" s="4">
        <v>45717</v>
      </c>
      <c r="C184" s="3" t="s">
        <v>27</v>
      </c>
      <c r="D184" s="3" t="s">
        <v>16</v>
      </c>
      <c r="E184" s="3">
        <v>761077.08</v>
      </c>
      <c r="F184" s="3">
        <v>113605.93</v>
      </c>
      <c r="G184" s="3">
        <v>63010.23</v>
      </c>
      <c r="H184" s="3">
        <v>9812</v>
      </c>
      <c r="I184" s="3">
        <v>0.113</v>
      </c>
      <c r="J184" s="3">
        <v>24</v>
      </c>
      <c r="K184" s="3">
        <f t="shared" si="12"/>
        <v>0</v>
      </c>
      <c r="L184" s="3">
        <f t="shared" si="13"/>
        <v>0</v>
      </c>
      <c r="M184" s="3">
        <f t="shared" si="14"/>
        <v>0</v>
      </c>
      <c r="N184" s="3">
        <v>76.8</v>
      </c>
      <c r="O184" s="3">
        <v>1.02</v>
      </c>
      <c r="P184" s="3">
        <v>1</v>
      </c>
      <c r="Q184" s="3">
        <v>3.8</v>
      </c>
      <c r="R184" s="3">
        <f t="shared" si="15"/>
        <v>0</v>
      </c>
      <c r="S184" s="3">
        <f t="shared" si="16"/>
        <v>0</v>
      </c>
      <c r="T184" s="3">
        <f t="shared" si="17"/>
        <v>1</v>
      </c>
    </row>
    <row r="185" spans="1:20">
      <c r="A185" s="3" t="s">
        <v>67</v>
      </c>
      <c r="B185" s="4">
        <v>45748</v>
      </c>
      <c r="C185" s="3" t="s">
        <v>27</v>
      </c>
      <c r="D185" s="3" t="s">
        <v>16</v>
      </c>
      <c r="E185" s="3">
        <v>819660.59</v>
      </c>
      <c r="F185" s="3">
        <v>172699.95</v>
      </c>
      <c r="G185" s="3">
        <v>57948.88</v>
      </c>
      <c r="H185" s="3">
        <v>10741</v>
      </c>
      <c r="I185" s="3">
        <v>7.0000000000000007E-2</v>
      </c>
      <c r="J185" s="3">
        <v>25</v>
      </c>
      <c r="K185" s="3">
        <f t="shared" si="12"/>
        <v>0</v>
      </c>
      <c r="L185" s="3">
        <f t="shared" si="13"/>
        <v>0</v>
      </c>
      <c r="M185" s="3">
        <f t="shared" si="14"/>
        <v>0</v>
      </c>
      <c r="N185" s="3">
        <v>90.1</v>
      </c>
      <c r="O185" s="3">
        <v>4.03</v>
      </c>
      <c r="P185" s="3">
        <v>0</v>
      </c>
      <c r="Q185" s="3">
        <v>3.1</v>
      </c>
      <c r="R185" s="3">
        <f t="shared" si="15"/>
        <v>0</v>
      </c>
      <c r="S185" s="3">
        <f t="shared" si="16"/>
        <v>0</v>
      </c>
      <c r="T185" s="3">
        <f t="shared" si="17"/>
        <v>1</v>
      </c>
    </row>
    <row r="186" spans="1:20">
      <c r="A186" s="3" t="s">
        <v>68</v>
      </c>
      <c r="B186" s="4">
        <v>45658</v>
      </c>
      <c r="C186" s="3" t="s">
        <v>20</v>
      </c>
      <c r="D186" s="3" t="s">
        <v>18</v>
      </c>
      <c r="E186" s="3">
        <v>681855.56</v>
      </c>
      <c r="F186" s="3">
        <v>117645.61</v>
      </c>
      <c r="G186" s="3">
        <v>71941.62</v>
      </c>
      <c r="H186" s="3">
        <v>6084</v>
      </c>
      <c r="I186" s="3">
        <v>7.1999999999999995E-2</v>
      </c>
      <c r="J186" s="3">
        <v>13</v>
      </c>
      <c r="K186" s="3">
        <f t="shared" si="12"/>
        <v>1</v>
      </c>
      <c r="L186" s="3">
        <f t="shared" si="13"/>
        <v>0</v>
      </c>
      <c r="M186" s="3">
        <f t="shared" si="14"/>
        <v>0</v>
      </c>
      <c r="N186" s="3">
        <v>93.7</v>
      </c>
      <c r="O186" s="3">
        <v>2.34</v>
      </c>
      <c r="P186" s="3">
        <v>0</v>
      </c>
      <c r="Q186" s="3">
        <v>4.4000000000000004</v>
      </c>
      <c r="R186" s="3">
        <f t="shared" si="15"/>
        <v>0</v>
      </c>
      <c r="S186" s="3">
        <f t="shared" si="16"/>
        <v>0</v>
      </c>
      <c r="T186" s="3">
        <f t="shared" si="17"/>
        <v>0</v>
      </c>
    </row>
    <row r="187" spans="1:20">
      <c r="A187" s="3" t="s">
        <v>68</v>
      </c>
      <c r="B187" s="4">
        <v>45689</v>
      </c>
      <c r="C187" s="3" t="s">
        <v>20</v>
      </c>
      <c r="D187" s="3" t="s">
        <v>18</v>
      </c>
      <c r="E187" s="3">
        <v>678311.17</v>
      </c>
      <c r="F187" s="3">
        <v>132029.76000000001</v>
      </c>
      <c r="G187" s="3">
        <v>57147.88</v>
      </c>
      <c r="H187" s="3">
        <v>5252</v>
      </c>
      <c r="I187" s="3">
        <v>0.161</v>
      </c>
      <c r="J187" s="3">
        <v>15</v>
      </c>
      <c r="K187" s="3">
        <f t="shared" si="12"/>
        <v>1</v>
      </c>
      <c r="L187" s="3">
        <f t="shared" si="13"/>
        <v>0</v>
      </c>
      <c r="M187" s="3">
        <f t="shared" si="14"/>
        <v>0</v>
      </c>
      <c r="N187" s="3">
        <v>95.5</v>
      </c>
      <c r="O187" s="3">
        <v>8.51</v>
      </c>
      <c r="P187" s="3">
        <v>0</v>
      </c>
      <c r="Q187" s="3">
        <v>4.4000000000000004</v>
      </c>
      <c r="R187" s="3">
        <f t="shared" si="15"/>
        <v>0</v>
      </c>
      <c r="S187" s="3">
        <f t="shared" si="16"/>
        <v>0</v>
      </c>
      <c r="T187" s="3">
        <f t="shared" si="17"/>
        <v>0</v>
      </c>
    </row>
    <row r="188" spans="1:20">
      <c r="A188" s="3" t="s">
        <v>68</v>
      </c>
      <c r="B188" s="4">
        <v>45717</v>
      </c>
      <c r="C188" s="3" t="s">
        <v>20</v>
      </c>
      <c r="D188" s="3" t="s">
        <v>18</v>
      </c>
      <c r="E188" s="3">
        <v>765906.95</v>
      </c>
      <c r="F188" s="3">
        <v>114005.9</v>
      </c>
      <c r="G188" s="3">
        <v>48031.74</v>
      </c>
      <c r="H188" s="3">
        <v>6516</v>
      </c>
      <c r="I188" s="3">
        <v>6.7000000000000004E-2</v>
      </c>
      <c r="J188" s="3">
        <v>14</v>
      </c>
      <c r="K188" s="3">
        <f t="shared" si="12"/>
        <v>1</v>
      </c>
      <c r="L188" s="3">
        <f t="shared" si="13"/>
        <v>0</v>
      </c>
      <c r="M188" s="3">
        <f t="shared" si="14"/>
        <v>0</v>
      </c>
      <c r="N188" s="3">
        <v>99</v>
      </c>
      <c r="O188" s="3">
        <v>0.48</v>
      </c>
      <c r="P188" s="3">
        <v>1</v>
      </c>
      <c r="Q188" s="3">
        <v>4.3</v>
      </c>
      <c r="R188" s="3">
        <f t="shared" si="15"/>
        <v>0</v>
      </c>
      <c r="S188" s="3">
        <f t="shared" si="16"/>
        <v>0</v>
      </c>
      <c r="T188" s="3">
        <f t="shared" si="17"/>
        <v>0</v>
      </c>
    </row>
    <row r="189" spans="1:20">
      <c r="A189" s="3" t="s">
        <v>68</v>
      </c>
      <c r="B189" s="4">
        <v>45748</v>
      </c>
      <c r="C189" s="3" t="s">
        <v>20</v>
      </c>
      <c r="D189" s="3" t="s">
        <v>18</v>
      </c>
      <c r="E189" s="3">
        <v>712546.38</v>
      </c>
      <c r="F189" s="3">
        <v>101480.04</v>
      </c>
      <c r="G189" s="3">
        <v>72784.800000000003</v>
      </c>
      <c r="H189" s="3">
        <v>7932</v>
      </c>
      <c r="I189" s="3">
        <v>9.4E-2</v>
      </c>
      <c r="J189" s="3">
        <v>20</v>
      </c>
      <c r="K189" s="3">
        <f t="shared" si="12"/>
        <v>1</v>
      </c>
      <c r="L189" s="3">
        <f t="shared" si="13"/>
        <v>0</v>
      </c>
      <c r="M189" s="3">
        <f t="shared" si="14"/>
        <v>0</v>
      </c>
      <c r="N189" s="3">
        <v>74.900000000000006</v>
      </c>
      <c r="O189" s="3">
        <v>13.62</v>
      </c>
      <c r="P189" s="3">
        <v>0</v>
      </c>
      <c r="Q189" s="3">
        <v>4.2</v>
      </c>
      <c r="R189" s="3">
        <f t="shared" si="15"/>
        <v>0</v>
      </c>
      <c r="S189" s="3">
        <f t="shared" si="16"/>
        <v>0</v>
      </c>
      <c r="T189" s="3">
        <f t="shared" si="17"/>
        <v>0</v>
      </c>
    </row>
    <row r="190" spans="1:20">
      <c r="A190" s="3" t="s">
        <v>69</v>
      </c>
      <c r="B190" s="4">
        <v>45658</v>
      </c>
      <c r="C190" s="3" t="s">
        <v>15</v>
      </c>
      <c r="D190" s="3" t="s">
        <v>18</v>
      </c>
      <c r="E190" s="3">
        <v>625993.82999999996</v>
      </c>
      <c r="F190" s="3">
        <v>98960.320000000007</v>
      </c>
      <c r="G190" s="3">
        <v>71641.899999999994</v>
      </c>
      <c r="H190" s="3">
        <v>3506</v>
      </c>
      <c r="I190" s="3">
        <v>0</v>
      </c>
      <c r="J190" s="3">
        <v>11</v>
      </c>
      <c r="K190" s="3">
        <f t="shared" si="12"/>
        <v>1</v>
      </c>
      <c r="L190" s="3">
        <f t="shared" si="13"/>
        <v>0</v>
      </c>
      <c r="M190" s="3">
        <f t="shared" si="14"/>
        <v>0</v>
      </c>
      <c r="N190" s="3">
        <v>86.4</v>
      </c>
      <c r="O190" s="3">
        <v>7.77</v>
      </c>
      <c r="P190" s="3">
        <v>0</v>
      </c>
      <c r="Q190" s="3">
        <v>4.0999999999999996</v>
      </c>
      <c r="R190" s="3">
        <f t="shared" si="15"/>
        <v>1</v>
      </c>
      <c r="S190" s="3">
        <f t="shared" si="16"/>
        <v>0</v>
      </c>
      <c r="T190" s="3">
        <f t="shared" si="17"/>
        <v>0</v>
      </c>
    </row>
    <row r="191" spans="1:20">
      <c r="A191" s="3" t="s">
        <v>69</v>
      </c>
      <c r="B191" s="4">
        <v>45689</v>
      </c>
      <c r="C191" s="3" t="s">
        <v>15</v>
      </c>
      <c r="D191" s="3" t="s">
        <v>18</v>
      </c>
      <c r="E191" s="3">
        <v>550962.93000000005</v>
      </c>
      <c r="F191" s="3">
        <v>97144.58</v>
      </c>
      <c r="G191" s="3">
        <v>55788.61</v>
      </c>
      <c r="H191" s="3">
        <v>2312</v>
      </c>
      <c r="I191" s="3">
        <v>5.8000000000000003E-2</v>
      </c>
      <c r="J191" s="3">
        <v>10</v>
      </c>
      <c r="K191" s="3">
        <f t="shared" si="12"/>
        <v>1</v>
      </c>
      <c r="L191" s="3">
        <f t="shared" si="13"/>
        <v>0</v>
      </c>
      <c r="M191" s="3">
        <f t="shared" si="14"/>
        <v>0</v>
      </c>
      <c r="N191" s="3">
        <v>91.3</v>
      </c>
      <c r="O191" s="3">
        <v>1.99</v>
      </c>
      <c r="P191" s="3">
        <v>0</v>
      </c>
      <c r="Q191" s="3">
        <v>3.8</v>
      </c>
      <c r="R191" s="3">
        <f t="shared" si="15"/>
        <v>1</v>
      </c>
      <c r="S191" s="3">
        <f t="shared" si="16"/>
        <v>0</v>
      </c>
      <c r="T191" s="3">
        <f t="shared" si="17"/>
        <v>0</v>
      </c>
    </row>
    <row r="192" spans="1:20">
      <c r="A192" s="3" t="s">
        <v>69</v>
      </c>
      <c r="B192" s="4">
        <v>45717</v>
      </c>
      <c r="C192" s="3" t="s">
        <v>15</v>
      </c>
      <c r="D192" s="3" t="s">
        <v>18</v>
      </c>
      <c r="E192" s="3">
        <v>443275.59</v>
      </c>
      <c r="F192" s="3">
        <v>53544.36</v>
      </c>
      <c r="G192" s="3">
        <v>37705.879999999997</v>
      </c>
      <c r="H192" s="3">
        <v>1268</v>
      </c>
      <c r="I192" s="3">
        <v>0.25900000000000001</v>
      </c>
      <c r="J192" s="3">
        <v>9</v>
      </c>
      <c r="K192" s="3">
        <f t="shared" si="12"/>
        <v>1</v>
      </c>
      <c r="L192" s="3">
        <f t="shared" si="13"/>
        <v>0</v>
      </c>
      <c r="M192" s="3">
        <f t="shared" si="14"/>
        <v>0</v>
      </c>
      <c r="N192" s="3">
        <v>84.1</v>
      </c>
      <c r="O192" s="3">
        <v>4.7699999999999996</v>
      </c>
      <c r="P192" s="3">
        <v>0</v>
      </c>
      <c r="Q192" s="3">
        <v>3.8</v>
      </c>
      <c r="R192" s="3">
        <f t="shared" si="15"/>
        <v>1</v>
      </c>
      <c r="S192" s="3">
        <f t="shared" si="16"/>
        <v>0</v>
      </c>
      <c r="T192" s="3">
        <f t="shared" si="17"/>
        <v>0</v>
      </c>
    </row>
    <row r="193" spans="1:20">
      <c r="A193" s="3" t="s">
        <v>69</v>
      </c>
      <c r="B193" s="4">
        <v>45748</v>
      </c>
      <c r="C193" s="3" t="s">
        <v>15</v>
      </c>
      <c r="D193" s="3" t="s">
        <v>18</v>
      </c>
      <c r="E193" s="3">
        <v>554012.06999999995</v>
      </c>
      <c r="F193" s="3">
        <v>81101.62</v>
      </c>
      <c r="G193" s="3">
        <v>54966.18</v>
      </c>
      <c r="H193" s="3">
        <v>4423</v>
      </c>
      <c r="I193" s="3">
        <v>0.186</v>
      </c>
      <c r="J193" s="3">
        <v>13</v>
      </c>
      <c r="K193" s="3">
        <f t="shared" si="12"/>
        <v>1</v>
      </c>
      <c r="L193" s="3">
        <f t="shared" si="13"/>
        <v>0</v>
      </c>
      <c r="M193" s="3">
        <f t="shared" si="14"/>
        <v>0</v>
      </c>
      <c r="N193" s="3">
        <v>88.7</v>
      </c>
      <c r="O193" s="3">
        <v>0.2</v>
      </c>
      <c r="P193" s="3">
        <v>0</v>
      </c>
      <c r="Q193" s="3">
        <v>4.4000000000000004</v>
      </c>
      <c r="R193" s="3">
        <f t="shared" si="15"/>
        <v>1</v>
      </c>
      <c r="S193" s="3">
        <f t="shared" si="16"/>
        <v>0</v>
      </c>
      <c r="T193" s="3">
        <f t="shared" si="17"/>
        <v>0</v>
      </c>
    </row>
    <row r="194" spans="1:20">
      <c r="A194" s="3" t="s">
        <v>70</v>
      </c>
      <c r="B194" s="4">
        <v>45658</v>
      </c>
      <c r="C194" s="3" t="s">
        <v>27</v>
      </c>
      <c r="D194" s="3" t="s">
        <v>16</v>
      </c>
      <c r="E194" s="3">
        <v>643428.85</v>
      </c>
      <c r="F194" s="3">
        <v>94477.63</v>
      </c>
      <c r="G194" s="3">
        <v>81796.740000000005</v>
      </c>
      <c r="H194" s="3">
        <v>6177</v>
      </c>
      <c r="I194" s="3">
        <v>0.16400000000000001</v>
      </c>
      <c r="J194" s="3">
        <v>14</v>
      </c>
      <c r="K194" s="3">
        <f t="shared" si="12"/>
        <v>0</v>
      </c>
      <c r="L194" s="3">
        <f t="shared" si="13"/>
        <v>0</v>
      </c>
      <c r="M194" s="3">
        <f t="shared" si="14"/>
        <v>0</v>
      </c>
      <c r="N194" s="3">
        <v>87.9</v>
      </c>
      <c r="O194" s="3">
        <v>0.53</v>
      </c>
      <c r="P194" s="3">
        <v>0</v>
      </c>
      <c r="Q194" s="3">
        <v>3.2</v>
      </c>
      <c r="R194" s="3">
        <f t="shared" si="15"/>
        <v>0</v>
      </c>
      <c r="S194" s="3">
        <f t="shared" si="16"/>
        <v>0</v>
      </c>
      <c r="T194" s="3">
        <f t="shared" si="17"/>
        <v>1</v>
      </c>
    </row>
    <row r="195" spans="1:20">
      <c r="A195" s="3" t="s">
        <v>70</v>
      </c>
      <c r="B195" s="4">
        <v>45689</v>
      </c>
      <c r="C195" s="3" t="s">
        <v>27</v>
      </c>
      <c r="D195" s="3" t="s">
        <v>16</v>
      </c>
      <c r="E195" s="3">
        <v>611924.27</v>
      </c>
      <c r="F195" s="3">
        <v>115488.75</v>
      </c>
      <c r="G195" s="3">
        <v>51133.43</v>
      </c>
      <c r="H195" s="3">
        <v>5150</v>
      </c>
      <c r="I195" s="3">
        <v>0.15</v>
      </c>
      <c r="J195" s="3">
        <v>12</v>
      </c>
      <c r="K195" s="3">
        <f t="shared" ref="K195:K258" si="18">IF($D195="High Street",1,0)</f>
        <v>0</v>
      </c>
      <c r="L195" s="3">
        <f t="shared" ref="L195:L258" si="19">IF($D195="Airport",1,0)</f>
        <v>0</v>
      </c>
      <c r="M195" s="3">
        <f t="shared" ref="M195:M258" si="20">IF($D195="Mall",1,0)</f>
        <v>0</v>
      </c>
      <c r="N195" s="3">
        <v>88.5</v>
      </c>
      <c r="O195" s="3">
        <v>1.54</v>
      </c>
      <c r="P195" s="3">
        <v>0</v>
      </c>
      <c r="Q195" s="3">
        <v>3.2</v>
      </c>
      <c r="R195" s="3">
        <f t="shared" ref="R195:R258" si="21">IF($C195="East",1,0)</f>
        <v>0</v>
      </c>
      <c r="S195" s="3">
        <f t="shared" ref="S195:S258" si="22">IF($C195="South",1,0)</f>
        <v>0</v>
      </c>
      <c r="T195" s="3">
        <f t="shared" ref="T195:T258" si="23">IF($C195="West",1,0)</f>
        <v>1</v>
      </c>
    </row>
    <row r="196" spans="1:20">
      <c r="A196" s="3" t="s">
        <v>70</v>
      </c>
      <c r="B196" s="4">
        <v>45717</v>
      </c>
      <c r="C196" s="3" t="s">
        <v>27</v>
      </c>
      <c r="D196" s="3" t="s">
        <v>16</v>
      </c>
      <c r="E196" s="3">
        <v>559422.02</v>
      </c>
      <c r="F196" s="3">
        <v>73528.740000000005</v>
      </c>
      <c r="G196" s="3">
        <v>40220.18</v>
      </c>
      <c r="H196" s="3">
        <v>3783</v>
      </c>
      <c r="I196" s="3">
        <v>8.8999999999999996E-2</v>
      </c>
      <c r="J196" s="3">
        <v>14</v>
      </c>
      <c r="K196" s="3">
        <f t="shared" si="18"/>
        <v>0</v>
      </c>
      <c r="L196" s="3">
        <f t="shared" si="19"/>
        <v>0</v>
      </c>
      <c r="M196" s="3">
        <f t="shared" si="20"/>
        <v>0</v>
      </c>
      <c r="N196" s="3">
        <v>86.6</v>
      </c>
      <c r="O196" s="3">
        <v>3.63</v>
      </c>
      <c r="P196" s="3">
        <v>0</v>
      </c>
      <c r="Q196" s="3">
        <v>3.7</v>
      </c>
      <c r="R196" s="3">
        <f t="shared" si="21"/>
        <v>0</v>
      </c>
      <c r="S196" s="3">
        <f t="shared" si="22"/>
        <v>0</v>
      </c>
      <c r="T196" s="3">
        <f t="shared" si="23"/>
        <v>1</v>
      </c>
    </row>
    <row r="197" spans="1:20">
      <c r="A197" s="3" t="s">
        <v>70</v>
      </c>
      <c r="B197" s="4">
        <v>45748</v>
      </c>
      <c r="C197" s="3" t="s">
        <v>27</v>
      </c>
      <c r="D197" s="3" t="s">
        <v>16</v>
      </c>
      <c r="E197" s="3">
        <v>449465.06</v>
      </c>
      <c r="F197" s="3">
        <v>65694.78</v>
      </c>
      <c r="G197" s="3">
        <v>41657.64</v>
      </c>
      <c r="H197" s="3">
        <v>3135</v>
      </c>
      <c r="I197" s="3">
        <v>0.22900000000000001</v>
      </c>
      <c r="J197" s="3">
        <v>7</v>
      </c>
      <c r="K197" s="3">
        <f t="shared" si="18"/>
        <v>0</v>
      </c>
      <c r="L197" s="3">
        <f t="shared" si="19"/>
        <v>0</v>
      </c>
      <c r="M197" s="3">
        <f t="shared" si="20"/>
        <v>0</v>
      </c>
      <c r="N197" s="3">
        <v>85.4</v>
      </c>
      <c r="O197" s="3">
        <v>13.48</v>
      </c>
      <c r="P197" s="3">
        <v>0</v>
      </c>
      <c r="Q197" s="5">
        <v>3.9</v>
      </c>
      <c r="R197" s="3">
        <f t="shared" si="21"/>
        <v>0</v>
      </c>
      <c r="S197" s="3">
        <f t="shared" si="22"/>
        <v>0</v>
      </c>
      <c r="T197" s="3">
        <f t="shared" si="23"/>
        <v>1</v>
      </c>
    </row>
    <row r="198" spans="1:20">
      <c r="A198" s="3" t="s">
        <v>71</v>
      </c>
      <c r="B198" s="4">
        <v>45658</v>
      </c>
      <c r="C198" s="3" t="s">
        <v>20</v>
      </c>
      <c r="D198" s="3" t="s">
        <v>16</v>
      </c>
      <c r="E198" s="3">
        <v>691447.43</v>
      </c>
      <c r="F198" s="3">
        <v>114077.69</v>
      </c>
      <c r="G198" s="3">
        <v>71851.45</v>
      </c>
      <c r="H198" s="3">
        <v>4970</v>
      </c>
      <c r="I198" s="3">
        <v>9.8000000000000004E-2</v>
      </c>
      <c r="J198" s="3">
        <v>11</v>
      </c>
      <c r="K198" s="3">
        <f t="shared" si="18"/>
        <v>0</v>
      </c>
      <c r="L198" s="3">
        <f t="shared" si="19"/>
        <v>0</v>
      </c>
      <c r="M198" s="3">
        <f t="shared" si="20"/>
        <v>0</v>
      </c>
      <c r="N198" s="3">
        <v>89.6</v>
      </c>
      <c r="O198" s="3">
        <v>0.2</v>
      </c>
      <c r="P198" s="3">
        <v>0</v>
      </c>
      <c r="Q198" s="3">
        <v>4.2</v>
      </c>
      <c r="R198" s="3">
        <f t="shared" si="21"/>
        <v>0</v>
      </c>
      <c r="S198" s="3">
        <f t="shared" si="22"/>
        <v>0</v>
      </c>
      <c r="T198" s="3">
        <f t="shared" si="23"/>
        <v>0</v>
      </c>
    </row>
    <row r="199" spans="1:20">
      <c r="A199" s="3" t="s">
        <v>71</v>
      </c>
      <c r="B199" s="4">
        <v>45689</v>
      </c>
      <c r="C199" s="3" t="s">
        <v>20</v>
      </c>
      <c r="D199" s="3" t="s">
        <v>16</v>
      </c>
      <c r="E199" s="3">
        <v>574066.61</v>
      </c>
      <c r="F199" s="3">
        <v>124674.67</v>
      </c>
      <c r="G199" s="3">
        <v>54002.83</v>
      </c>
      <c r="H199" s="3">
        <v>4366</v>
      </c>
      <c r="I199" s="3">
        <v>2.7E-2</v>
      </c>
      <c r="J199" s="3">
        <v>15</v>
      </c>
      <c r="K199" s="3">
        <f t="shared" si="18"/>
        <v>0</v>
      </c>
      <c r="L199" s="3">
        <f t="shared" si="19"/>
        <v>0</v>
      </c>
      <c r="M199" s="3">
        <f t="shared" si="20"/>
        <v>0</v>
      </c>
      <c r="N199" s="3">
        <v>90.6</v>
      </c>
      <c r="O199" s="3">
        <v>12.82</v>
      </c>
      <c r="P199" s="3">
        <v>0</v>
      </c>
      <c r="Q199" s="3">
        <v>4.5999999999999996</v>
      </c>
      <c r="R199" s="3">
        <f t="shared" si="21"/>
        <v>0</v>
      </c>
      <c r="S199" s="3">
        <f t="shared" si="22"/>
        <v>0</v>
      </c>
      <c r="T199" s="3">
        <f t="shared" si="23"/>
        <v>0</v>
      </c>
    </row>
    <row r="200" spans="1:20">
      <c r="A200" s="3" t="s">
        <v>71</v>
      </c>
      <c r="B200" s="4">
        <v>45717</v>
      </c>
      <c r="C200" s="3" t="s">
        <v>20</v>
      </c>
      <c r="D200" s="3" t="s">
        <v>16</v>
      </c>
      <c r="E200" s="3">
        <v>578949.84</v>
      </c>
      <c r="F200" s="3">
        <v>80253.649999999994</v>
      </c>
      <c r="G200" s="3">
        <v>54479.33</v>
      </c>
      <c r="H200" s="3">
        <v>5012</v>
      </c>
      <c r="I200" s="3">
        <v>0.28399999999999997</v>
      </c>
      <c r="J200" s="3">
        <v>13</v>
      </c>
      <c r="K200" s="3">
        <f t="shared" si="18"/>
        <v>0</v>
      </c>
      <c r="L200" s="3">
        <f t="shared" si="19"/>
        <v>0</v>
      </c>
      <c r="M200" s="3">
        <f t="shared" si="20"/>
        <v>0</v>
      </c>
      <c r="N200" s="3">
        <v>86</v>
      </c>
      <c r="O200" s="3">
        <v>2.2400000000000002</v>
      </c>
      <c r="P200" s="3">
        <v>1</v>
      </c>
      <c r="Q200" s="3">
        <v>4.3</v>
      </c>
      <c r="R200" s="3">
        <f t="shared" si="21"/>
        <v>0</v>
      </c>
      <c r="S200" s="3">
        <f t="shared" si="22"/>
        <v>0</v>
      </c>
      <c r="T200" s="3">
        <f t="shared" si="23"/>
        <v>0</v>
      </c>
    </row>
    <row r="201" spans="1:20">
      <c r="A201" s="3" t="s">
        <v>71</v>
      </c>
      <c r="B201" s="4">
        <v>45748</v>
      </c>
      <c r="C201" s="3" t="s">
        <v>20</v>
      </c>
      <c r="D201" s="3" t="s">
        <v>16</v>
      </c>
      <c r="E201" s="3">
        <v>735786.64</v>
      </c>
      <c r="F201" s="3">
        <v>126540.66</v>
      </c>
      <c r="G201" s="3">
        <v>61391.8</v>
      </c>
      <c r="H201" s="3">
        <v>5575</v>
      </c>
      <c r="I201" s="3">
        <v>0.189</v>
      </c>
      <c r="J201" s="3">
        <v>18</v>
      </c>
      <c r="K201" s="3">
        <f t="shared" si="18"/>
        <v>0</v>
      </c>
      <c r="L201" s="3">
        <f t="shared" si="19"/>
        <v>0</v>
      </c>
      <c r="M201" s="3">
        <f t="shared" si="20"/>
        <v>0</v>
      </c>
      <c r="N201" s="3">
        <v>90</v>
      </c>
      <c r="O201" s="3">
        <v>1.8</v>
      </c>
      <c r="P201" s="3">
        <v>0</v>
      </c>
      <c r="Q201" s="3">
        <v>4.8</v>
      </c>
      <c r="R201" s="3">
        <f t="shared" si="21"/>
        <v>0</v>
      </c>
      <c r="S201" s="3">
        <f t="shared" si="22"/>
        <v>0</v>
      </c>
      <c r="T201" s="3">
        <f t="shared" si="23"/>
        <v>0</v>
      </c>
    </row>
    <row r="202" spans="1:20">
      <c r="A202" s="3" t="s">
        <v>72</v>
      </c>
      <c r="B202" s="4">
        <v>45658</v>
      </c>
      <c r="C202" s="3" t="s">
        <v>15</v>
      </c>
      <c r="D202" s="3" t="s">
        <v>21</v>
      </c>
      <c r="E202" s="3">
        <v>598904.9</v>
      </c>
      <c r="F202" s="3">
        <v>72861</v>
      </c>
      <c r="G202" s="3">
        <v>22312.93</v>
      </c>
      <c r="H202" s="3">
        <v>5955</v>
      </c>
      <c r="I202" s="3">
        <v>0.123</v>
      </c>
      <c r="J202" s="3">
        <v>13</v>
      </c>
      <c r="K202" s="3">
        <f t="shared" si="18"/>
        <v>0</v>
      </c>
      <c r="L202" s="3">
        <f t="shared" si="19"/>
        <v>1</v>
      </c>
      <c r="M202" s="3">
        <f t="shared" si="20"/>
        <v>0</v>
      </c>
      <c r="N202" s="3">
        <v>84.2</v>
      </c>
      <c r="O202" s="3">
        <v>0.41</v>
      </c>
      <c r="P202" s="3">
        <v>1</v>
      </c>
      <c r="Q202" s="3">
        <v>4.5999999999999996</v>
      </c>
      <c r="R202" s="3">
        <f t="shared" si="21"/>
        <v>1</v>
      </c>
      <c r="S202" s="3">
        <f t="shared" si="22"/>
        <v>0</v>
      </c>
      <c r="T202" s="3">
        <f t="shared" si="23"/>
        <v>0</v>
      </c>
    </row>
    <row r="203" spans="1:20">
      <c r="A203" s="3" t="s">
        <v>72</v>
      </c>
      <c r="B203" s="4">
        <v>45689</v>
      </c>
      <c r="C203" s="3" t="s">
        <v>15</v>
      </c>
      <c r="D203" s="3" t="s">
        <v>21</v>
      </c>
      <c r="E203" s="3">
        <v>787715.51</v>
      </c>
      <c r="F203" s="3">
        <v>128969.62</v>
      </c>
      <c r="G203" s="3">
        <v>78111.97</v>
      </c>
      <c r="H203" s="3">
        <v>6389</v>
      </c>
      <c r="I203" s="3">
        <v>0.15</v>
      </c>
      <c r="J203" s="3">
        <v>13</v>
      </c>
      <c r="K203" s="3">
        <f t="shared" si="18"/>
        <v>0</v>
      </c>
      <c r="L203" s="3">
        <f t="shared" si="19"/>
        <v>1</v>
      </c>
      <c r="M203" s="3">
        <f t="shared" si="20"/>
        <v>0</v>
      </c>
      <c r="N203" s="3">
        <v>83.9</v>
      </c>
      <c r="O203" s="3">
        <v>3.05</v>
      </c>
      <c r="P203" s="3">
        <v>0</v>
      </c>
      <c r="Q203" s="3">
        <v>4.8</v>
      </c>
      <c r="R203" s="3">
        <f t="shared" si="21"/>
        <v>1</v>
      </c>
      <c r="S203" s="3">
        <f t="shared" si="22"/>
        <v>0</v>
      </c>
      <c r="T203" s="3">
        <f t="shared" si="23"/>
        <v>0</v>
      </c>
    </row>
    <row r="204" spans="1:20">
      <c r="A204" s="3" t="s">
        <v>72</v>
      </c>
      <c r="B204" s="4">
        <v>45717</v>
      </c>
      <c r="C204" s="3" t="s">
        <v>15</v>
      </c>
      <c r="D204" s="3" t="s">
        <v>21</v>
      </c>
      <c r="E204" s="3">
        <v>607084.92000000004</v>
      </c>
      <c r="F204" s="3">
        <v>98558.49</v>
      </c>
      <c r="G204" s="3">
        <v>35203.230000000003</v>
      </c>
      <c r="H204" s="3">
        <v>6896</v>
      </c>
      <c r="I204" s="3">
        <v>3.2000000000000001E-2</v>
      </c>
      <c r="J204" s="3">
        <v>14</v>
      </c>
      <c r="K204" s="3">
        <f t="shared" si="18"/>
        <v>0</v>
      </c>
      <c r="L204" s="3">
        <f t="shared" si="19"/>
        <v>1</v>
      </c>
      <c r="M204" s="3">
        <f t="shared" si="20"/>
        <v>0</v>
      </c>
      <c r="N204" s="3">
        <v>80.8</v>
      </c>
      <c r="O204" s="3">
        <v>8.44</v>
      </c>
      <c r="P204" s="3">
        <v>1</v>
      </c>
      <c r="Q204" s="3">
        <v>5</v>
      </c>
      <c r="R204" s="3">
        <f t="shared" si="21"/>
        <v>1</v>
      </c>
      <c r="S204" s="3">
        <f t="shared" si="22"/>
        <v>0</v>
      </c>
      <c r="T204" s="3">
        <f t="shared" si="23"/>
        <v>0</v>
      </c>
    </row>
    <row r="205" spans="1:20">
      <c r="A205" s="3" t="s">
        <v>72</v>
      </c>
      <c r="B205" s="4">
        <v>45748</v>
      </c>
      <c r="C205" s="3" t="s">
        <v>15</v>
      </c>
      <c r="D205" s="3" t="s">
        <v>21</v>
      </c>
      <c r="E205" s="3">
        <v>650795.49</v>
      </c>
      <c r="F205" s="3">
        <v>103035.89</v>
      </c>
      <c r="G205" s="3">
        <v>64104.28</v>
      </c>
      <c r="H205" s="3">
        <v>6015</v>
      </c>
      <c r="I205" s="3">
        <v>0.127</v>
      </c>
      <c r="J205" s="3">
        <v>15</v>
      </c>
      <c r="K205" s="3">
        <f t="shared" si="18"/>
        <v>0</v>
      </c>
      <c r="L205" s="3">
        <f t="shared" si="19"/>
        <v>1</v>
      </c>
      <c r="M205" s="3">
        <f t="shared" si="20"/>
        <v>0</v>
      </c>
      <c r="N205" s="3">
        <v>88.7</v>
      </c>
      <c r="O205" s="3">
        <v>0.78</v>
      </c>
      <c r="P205" s="3">
        <v>0</v>
      </c>
      <c r="Q205" s="3">
        <v>4</v>
      </c>
      <c r="R205" s="3">
        <f t="shared" si="21"/>
        <v>1</v>
      </c>
      <c r="S205" s="3">
        <f t="shared" si="22"/>
        <v>0</v>
      </c>
      <c r="T205" s="3">
        <f t="shared" si="23"/>
        <v>0</v>
      </c>
    </row>
    <row r="206" spans="1:20">
      <c r="A206" s="3" t="s">
        <v>73</v>
      </c>
      <c r="B206" s="4">
        <v>45658</v>
      </c>
      <c r="C206" s="3" t="s">
        <v>15</v>
      </c>
      <c r="D206" s="3" t="s">
        <v>28</v>
      </c>
      <c r="E206" s="3">
        <v>825060.52</v>
      </c>
      <c r="F206" s="3">
        <v>143613.15</v>
      </c>
      <c r="G206" s="3">
        <v>92090.14</v>
      </c>
      <c r="H206" s="3">
        <v>9476</v>
      </c>
      <c r="I206" s="3">
        <v>7.0000000000000007E-2</v>
      </c>
      <c r="J206" s="3">
        <v>24</v>
      </c>
      <c r="K206" s="3">
        <f t="shared" si="18"/>
        <v>0</v>
      </c>
      <c r="L206" s="3">
        <f t="shared" si="19"/>
        <v>0</v>
      </c>
      <c r="M206" s="3">
        <f t="shared" si="20"/>
        <v>1</v>
      </c>
      <c r="N206" s="3">
        <v>94.3</v>
      </c>
      <c r="O206" s="3">
        <v>0.87</v>
      </c>
      <c r="P206" s="3">
        <v>0</v>
      </c>
      <c r="Q206" s="3">
        <v>3.7</v>
      </c>
      <c r="R206" s="3">
        <f t="shared" si="21"/>
        <v>1</v>
      </c>
      <c r="S206" s="3">
        <f t="shared" si="22"/>
        <v>0</v>
      </c>
      <c r="T206" s="3">
        <f t="shared" si="23"/>
        <v>0</v>
      </c>
    </row>
    <row r="207" spans="1:20">
      <c r="A207" s="3" t="s">
        <v>73</v>
      </c>
      <c r="B207" s="4">
        <v>45689</v>
      </c>
      <c r="C207" s="3" t="s">
        <v>15</v>
      </c>
      <c r="D207" s="3" t="s">
        <v>28</v>
      </c>
      <c r="E207" s="3">
        <v>795464.47</v>
      </c>
      <c r="F207" s="3">
        <v>161150.51999999999</v>
      </c>
      <c r="G207" s="3">
        <v>54300.87</v>
      </c>
      <c r="H207" s="3">
        <v>7875</v>
      </c>
      <c r="I207" s="3">
        <v>0.107</v>
      </c>
      <c r="J207" s="3">
        <v>19</v>
      </c>
      <c r="K207" s="3">
        <f t="shared" si="18"/>
        <v>0</v>
      </c>
      <c r="L207" s="3">
        <f t="shared" si="19"/>
        <v>0</v>
      </c>
      <c r="M207" s="3">
        <f t="shared" si="20"/>
        <v>1</v>
      </c>
      <c r="N207" s="3">
        <v>94.1</v>
      </c>
      <c r="O207" s="3">
        <v>0.95</v>
      </c>
      <c r="P207" s="3">
        <v>0</v>
      </c>
      <c r="Q207" s="3">
        <v>3.7</v>
      </c>
      <c r="R207" s="3">
        <f t="shared" si="21"/>
        <v>1</v>
      </c>
      <c r="S207" s="3">
        <f t="shared" si="22"/>
        <v>0</v>
      </c>
      <c r="T207" s="3">
        <f t="shared" si="23"/>
        <v>0</v>
      </c>
    </row>
    <row r="208" spans="1:20">
      <c r="A208" s="3" t="s">
        <v>73</v>
      </c>
      <c r="B208" s="4">
        <v>45717</v>
      </c>
      <c r="C208" s="3" t="s">
        <v>15</v>
      </c>
      <c r="D208" s="3" t="s">
        <v>28</v>
      </c>
      <c r="E208" s="3">
        <v>671868.59</v>
      </c>
      <c r="F208" s="3">
        <v>71003.28</v>
      </c>
      <c r="G208" s="3">
        <v>37983.35</v>
      </c>
      <c r="H208" s="3">
        <v>9283</v>
      </c>
      <c r="I208" s="3">
        <v>0.14899999999999999</v>
      </c>
      <c r="J208" s="3">
        <v>19</v>
      </c>
      <c r="K208" s="3">
        <f t="shared" si="18"/>
        <v>0</v>
      </c>
      <c r="L208" s="3">
        <f t="shared" si="19"/>
        <v>0</v>
      </c>
      <c r="M208" s="3">
        <f t="shared" si="20"/>
        <v>1</v>
      </c>
      <c r="N208" s="3">
        <v>83.2</v>
      </c>
      <c r="O208" s="3">
        <v>3.82</v>
      </c>
      <c r="P208" s="3">
        <v>0</v>
      </c>
      <c r="Q208" s="3">
        <v>3.7</v>
      </c>
      <c r="R208" s="3">
        <f t="shared" si="21"/>
        <v>1</v>
      </c>
      <c r="S208" s="3">
        <f t="shared" si="22"/>
        <v>0</v>
      </c>
      <c r="T208" s="3">
        <f t="shared" si="23"/>
        <v>0</v>
      </c>
    </row>
    <row r="209" spans="1:20">
      <c r="A209" s="3" t="s">
        <v>73</v>
      </c>
      <c r="B209" s="4">
        <v>45748</v>
      </c>
      <c r="C209" s="3" t="s">
        <v>15</v>
      </c>
      <c r="D209" s="3" t="s">
        <v>28</v>
      </c>
      <c r="E209" s="3">
        <v>675917.63</v>
      </c>
      <c r="F209" s="3">
        <v>112564.75</v>
      </c>
      <c r="G209" s="3">
        <v>56413.83</v>
      </c>
      <c r="H209" s="3">
        <v>8303</v>
      </c>
      <c r="I209" s="3">
        <v>0.11600000000000001</v>
      </c>
      <c r="J209" s="3">
        <v>18</v>
      </c>
      <c r="K209" s="3">
        <f t="shared" si="18"/>
        <v>0</v>
      </c>
      <c r="L209" s="3">
        <f t="shared" si="19"/>
        <v>0</v>
      </c>
      <c r="M209" s="3">
        <f t="shared" si="20"/>
        <v>1</v>
      </c>
      <c r="N209" s="3">
        <v>93.6</v>
      </c>
      <c r="O209" s="3">
        <v>2.7</v>
      </c>
      <c r="P209" s="3">
        <v>0</v>
      </c>
      <c r="Q209" s="3">
        <v>3.7</v>
      </c>
      <c r="R209" s="3">
        <f t="shared" si="21"/>
        <v>1</v>
      </c>
      <c r="S209" s="3">
        <f t="shared" si="22"/>
        <v>0</v>
      </c>
      <c r="T209" s="3">
        <f t="shared" si="23"/>
        <v>0</v>
      </c>
    </row>
    <row r="210" spans="1:20">
      <c r="A210" s="3" t="s">
        <v>74</v>
      </c>
      <c r="B210" s="4">
        <v>45658</v>
      </c>
      <c r="C210" s="3" t="s">
        <v>15</v>
      </c>
      <c r="D210" s="3" t="s">
        <v>18</v>
      </c>
      <c r="E210" s="3">
        <v>810446.53</v>
      </c>
      <c r="F210" s="3">
        <v>200575.34</v>
      </c>
      <c r="G210" s="3">
        <v>63457.19</v>
      </c>
      <c r="H210" s="3">
        <v>10125</v>
      </c>
      <c r="I210" s="3">
        <v>9.7000000000000003E-2</v>
      </c>
      <c r="J210" s="3">
        <v>24</v>
      </c>
      <c r="K210" s="3">
        <f t="shared" si="18"/>
        <v>1</v>
      </c>
      <c r="L210" s="3">
        <f t="shared" si="19"/>
        <v>0</v>
      </c>
      <c r="M210" s="3">
        <f t="shared" si="20"/>
        <v>0</v>
      </c>
      <c r="N210" s="3">
        <v>87</v>
      </c>
      <c r="O210" s="3">
        <v>3.84</v>
      </c>
      <c r="P210" s="3">
        <v>1</v>
      </c>
      <c r="Q210" s="3">
        <v>3.7</v>
      </c>
      <c r="R210" s="3">
        <f t="shared" si="21"/>
        <v>1</v>
      </c>
      <c r="S210" s="3">
        <f t="shared" si="22"/>
        <v>0</v>
      </c>
      <c r="T210" s="3">
        <f t="shared" si="23"/>
        <v>0</v>
      </c>
    </row>
    <row r="211" spans="1:20">
      <c r="A211" s="3" t="s">
        <v>74</v>
      </c>
      <c r="B211" s="4">
        <v>45689</v>
      </c>
      <c r="C211" s="3" t="s">
        <v>15</v>
      </c>
      <c r="D211" s="3" t="s">
        <v>18</v>
      </c>
      <c r="E211" s="3">
        <v>691288.19</v>
      </c>
      <c r="F211" s="3">
        <v>159074.14000000001</v>
      </c>
      <c r="G211" s="3">
        <v>62949.7</v>
      </c>
      <c r="H211" s="3">
        <v>9458</v>
      </c>
      <c r="I211" s="3">
        <v>0.17100000000000001</v>
      </c>
      <c r="J211" s="3">
        <v>19</v>
      </c>
      <c r="K211" s="3">
        <f t="shared" si="18"/>
        <v>1</v>
      </c>
      <c r="L211" s="3">
        <f t="shared" si="19"/>
        <v>0</v>
      </c>
      <c r="M211" s="3">
        <f t="shared" si="20"/>
        <v>0</v>
      </c>
      <c r="N211" s="3">
        <v>84.9</v>
      </c>
      <c r="O211" s="3">
        <v>5.09</v>
      </c>
      <c r="P211" s="3">
        <v>0</v>
      </c>
      <c r="Q211" s="3">
        <v>3.3</v>
      </c>
      <c r="R211" s="3">
        <f t="shared" si="21"/>
        <v>1</v>
      </c>
      <c r="S211" s="3">
        <f t="shared" si="22"/>
        <v>0</v>
      </c>
      <c r="T211" s="3">
        <f t="shared" si="23"/>
        <v>0</v>
      </c>
    </row>
    <row r="212" spans="1:20">
      <c r="A212" s="3" t="s">
        <v>74</v>
      </c>
      <c r="B212" s="4">
        <v>45717</v>
      </c>
      <c r="C212" s="3" t="s">
        <v>15</v>
      </c>
      <c r="D212" s="3" t="s">
        <v>18</v>
      </c>
      <c r="E212" s="3">
        <v>946833.54</v>
      </c>
      <c r="F212" s="3">
        <v>184540.31</v>
      </c>
      <c r="G212" s="3">
        <v>107970.19</v>
      </c>
      <c r="H212" s="3">
        <v>12870</v>
      </c>
      <c r="I212" s="3">
        <v>2.9000000000000001E-2</v>
      </c>
      <c r="J212" s="3">
        <v>31</v>
      </c>
      <c r="K212" s="3">
        <f t="shared" si="18"/>
        <v>1</v>
      </c>
      <c r="L212" s="3">
        <f t="shared" si="19"/>
        <v>0</v>
      </c>
      <c r="M212" s="3">
        <f t="shared" si="20"/>
        <v>0</v>
      </c>
      <c r="N212" s="3">
        <v>91.7</v>
      </c>
      <c r="O212" s="3">
        <v>3.82</v>
      </c>
      <c r="P212" s="3">
        <v>1</v>
      </c>
      <c r="Q212" s="3">
        <v>3.7</v>
      </c>
      <c r="R212" s="3">
        <f t="shared" si="21"/>
        <v>1</v>
      </c>
      <c r="S212" s="3">
        <f t="shared" si="22"/>
        <v>0</v>
      </c>
      <c r="T212" s="3">
        <f t="shared" si="23"/>
        <v>0</v>
      </c>
    </row>
    <row r="213" spans="1:20">
      <c r="A213" s="3" t="s">
        <v>74</v>
      </c>
      <c r="B213" s="4">
        <v>45748</v>
      </c>
      <c r="C213" s="3" t="s">
        <v>15</v>
      </c>
      <c r="D213" s="3" t="s">
        <v>18</v>
      </c>
      <c r="E213" s="3">
        <v>761963.23</v>
      </c>
      <c r="F213" s="3">
        <v>150113.60999999999</v>
      </c>
      <c r="G213" s="3">
        <v>49405.75</v>
      </c>
      <c r="H213" s="3">
        <v>9752</v>
      </c>
      <c r="I213" s="3">
        <v>9.2999999999999999E-2</v>
      </c>
      <c r="J213" s="3">
        <v>21</v>
      </c>
      <c r="K213" s="3">
        <f t="shared" si="18"/>
        <v>1</v>
      </c>
      <c r="L213" s="3">
        <f t="shared" si="19"/>
        <v>0</v>
      </c>
      <c r="M213" s="3">
        <f t="shared" si="20"/>
        <v>0</v>
      </c>
      <c r="N213" s="3">
        <v>87</v>
      </c>
      <c r="O213" s="3">
        <v>12.28</v>
      </c>
      <c r="P213" s="3">
        <v>0</v>
      </c>
      <c r="Q213" s="3">
        <v>4.0999999999999996</v>
      </c>
      <c r="R213" s="3">
        <f t="shared" si="21"/>
        <v>1</v>
      </c>
      <c r="S213" s="3">
        <f t="shared" si="22"/>
        <v>0</v>
      </c>
      <c r="T213" s="3">
        <f t="shared" si="23"/>
        <v>0</v>
      </c>
    </row>
    <row r="214" spans="1:20">
      <c r="A214" s="3" t="s">
        <v>75</v>
      </c>
      <c r="B214" s="4">
        <v>45658</v>
      </c>
      <c r="C214" s="3" t="s">
        <v>27</v>
      </c>
      <c r="D214" s="3" t="s">
        <v>16</v>
      </c>
      <c r="E214" s="3">
        <v>812152.6</v>
      </c>
      <c r="F214" s="3">
        <v>138419.43</v>
      </c>
      <c r="G214" s="3">
        <v>50887.46</v>
      </c>
      <c r="H214" s="3">
        <v>9505</v>
      </c>
      <c r="I214" s="3">
        <v>9.0999999999999998E-2</v>
      </c>
      <c r="J214" s="3">
        <v>25</v>
      </c>
      <c r="K214" s="3">
        <f t="shared" si="18"/>
        <v>0</v>
      </c>
      <c r="L214" s="3">
        <f t="shared" si="19"/>
        <v>0</v>
      </c>
      <c r="M214" s="3">
        <f t="shared" si="20"/>
        <v>0</v>
      </c>
      <c r="N214" s="3">
        <v>89.7</v>
      </c>
      <c r="O214" s="3">
        <v>2.8</v>
      </c>
      <c r="P214" s="3">
        <v>0</v>
      </c>
      <c r="Q214" s="3">
        <v>4.3</v>
      </c>
      <c r="R214" s="3">
        <f t="shared" si="21"/>
        <v>0</v>
      </c>
      <c r="S214" s="3">
        <f t="shared" si="22"/>
        <v>0</v>
      </c>
      <c r="T214" s="3">
        <f t="shared" si="23"/>
        <v>1</v>
      </c>
    </row>
    <row r="215" spans="1:20">
      <c r="A215" s="3" t="s">
        <v>75</v>
      </c>
      <c r="B215" s="4">
        <v>45689</v>
      </c>
      <c r="C215" s="3" t="s">
        <v>27</v>
      </c>
      <c r="D215" s="3" t="s">
        <v>16</v>
      </c>
      <c r="E215" s="3">
        <v>804975.5</v>
      </c>
      <c r="F215" s="3">
        <v>140054.5</v>
      </c>
      <c r="G215" s="3">
        <v>41819.449999999997</v>
      </c>
      <c r="H215" s="3">
        <v>9412</v>
      </c>
      <c r="I215" s="3">
        <v>0.15</v>
      </c>
      <c r="J215" s="3">
        <v>22</v>
      </c>
      <c r="K215" s="3">
        <f t="shared" si="18"/>
        <v>0</v>
      </c>
      <c r="L215" s="3">
        <f t="shared" si="19"/>
        <v>0</v>
      </c>
      <c r="M215" s="3">
        <f t="shared" si="20"/>
        <v>0</v>
      </c>
      <c r="N215" s="3">
        <v>91</v>
      </c>
      <c r="O215" s="3">
        <v>3.67</v>
      </c>
      <c r="P215" s="3">
        <v>0</v>
      </c>
      <c r="Q215" s="3">
        <v>4.2</v>
      </c>
      <c r="R215" s="3">
        <f t="shared" si="21"/>
        <v>0</v>
      </c>
      <c r="S215" s="3">
        <f t="shared" si="22"/>
        <v>0</v>
      </c>
      <c r="T215" s="3">
        <f t="shared" si="23"/>
        <v>1</v>
      </c>
    </row>
    <row r="216" spans="1:20">
      <c r="A216" s="3" t="s">
        <v>75</v>
      </c>
      <c r="B216" s="4">
        <v>45717</v>
      </c>
      <c r="C216" s="3" t="s">
        <v>27</v>
      </c>
      <c r="D216" s="3" t="s">
        <v>16</v>
      </c>
      <c r="E216" s="3">
        <v>752321.72</v>
      </c>
      <c r="F216" s="3">
        <v>137788.51</v>
      </c>
      <c r="G216" s="3">
        <v>35296.54</v>
      </c>
      <c r="H216" s="3">
        <v>9644</v>
      </c>
      <c r="I216" s="3">
        <v>0</v>
      </c>
      <c r="J216" s="3">
        <v>22</v>
      </c>
      <c r="K216" s="3">
        <f t="shared" si="18"/>
        <v>0</v>
      </c>
      <c r="L216" s="3">
        <f t="shared" si="19"/>
        <v>0</v>
      </c>
      <c r="M216" s="3">
        <f t="shared" si="20"/>
        <v>0</v>
      </c>
      <c r="N216" s="3">
        <v>88</v>
      </c>
      <c r="O216" s="3">
        <v>2.81</v>
      </c>
      <c r="P216" s="3">
        <v>0</v>
      </c>
      <c r="Q216" s="3">
        <v>4.7</v>
      </c>
      <c r="R216" s="3">
        <f t="shared" si="21"/>
        <v>0</v>
      </c>
      <c r="S216" s="3">
        <f t="shared" si="22"/>
        <v>0</v>
      </c>
      <c r="T216" s="3">
        <f t="shared" si="23"/>
        <v>1</v>
      </c>
    </row>
    <row r="217" spans="1:20">
      <c r="A217" s="3" t="s">
        <v>75</v>
      </c>
      <c r="B217" s="4">
        <v>45748</v>
      </c>
      <c r="C217" s="3" t="s">
        <v>27</v>
      </c>
      <c r="D217" s="3" t="s">
        <v>16</v>
      </c>
      <c r="E217" s="3">
        <v>836908.24</v>
      </c>
      <c r="F217" s="3">
        <v>141090.26</v>
      </c>
      <c r="G217" s="3">
        <v>47391.09</v>
      </c>
      <c r="H217" s="3">
        <v>11224</v>
      </c>
      <c r="I217" s="3">
        <v>0.14699999999999999</v>
      </c>
      <c r="J217" s="3">
        <v>25</v>
      </c>
      <c r="K217" s="3">
        <f t="shared" si="18"/>
        <v>0</v>
      </c>
      <c r="L217" s="3">
        <f t="shared" si="19"/>
        <v>0</v>
      </c>
      <c r="M217" s="3">
        <f t="shared" si="20"/>
        <v>0</v>
      </c>
      <c r="N217" s="3">
        <v>88.4</v>
      </c>
      <c r="O217" s="3">
        <v>2.44</v>
      </c>
      <c r="P217" s="3">
        <v>0</v>
      </c>
      <c r="Q217" s="3">
        <v>4.9000000000000004</v>
      </c>
      <c r="R217" s="3">
        <f t="shared" si="21"/>
        <v>0</v>
      </c>
      <c r="S217" s="3">
        <f t="shared" si="22"/>
        <v>0</v>
      </c>
      <c r="T217" s="3">
        <f t="shared" si="23"/>
        <v>1</v>
      </c>
    </row>
    <row r="218" spans="1:20">
      <c r="A218" s="3" t="s">
        <v>76</v>
      </c>
      <c r="B218" s="4">
        <v>45658</v>
      </c>
      <c r="C218" s="3" t="s">
        <v>20</v>
      </c>
      <c r="D218" s="3" t="s">
        <v>21</v>
      </c>
      <c r="E218" s="3">
        <v>674289.1</v>
      </c>
      <c r="F218" s="3">
        <v>117773.79</v>
      </c>
      <c r="G218" s="3">
        <v>69180.539999999994</v>
      </c>
      <c r="H218" s="3">
        <v>5394</v>
      </c>
      <c r="I218" s="3">
        <v>0.126</v>
      </c>
      <c r="J218" s="3">
        <v>12</v>
      </c>
      <c r="K218" s="3">
        <f t="shared" si="18"/>
        <v>0</v>
      </c>
      <c r="L218" s="3">
        <f t="shared" si="19"/>
        <v>1</v>
      </c>
      <c r="M218" s="3">
        <f t="shared" si="20"/>
        <v>0</v>
      </c>
      <c r="N218" s="3">
        <v>82.9</v>
      </c>
      <c r="O218" s="3">
        <v>3.27</v>
      </c>
      <c r="P218" s="3">
        <v>0</v>
      </c>
      <c r="Q218" s="3">
        <v>3.3</v>
      </c>
      <c r="R218" s="3">
        <f t="shared" si="21"/>
        <v>0</v>
      </c>
      <c r="S218" s="3">
        <f t="shared" si="22"/>
        <v>0</v>
      </c>
      <c r="T218" s="3">
        <f t="shared" si="23"/>
        <v>0</v>
      </c>
    </row>
    <row r="219" spans="1:20">
      <c r="A219" s="3" t="s">
        <v>76</v>
      </c>
      <c r="B219" s="4">
        <v>45689</v>
      </c>
      <c r="C219" s="3" t="s">
        <v>20</v>
      </c>
      <c r="D219" s="3" t="s">
        <v>21</v>
      </c>
      <c r="E219" s="3">
        <v>622892.42000000004</v>
      </c>
      <c r="F219" s="3">
        <v>101032.52</v>
      </c>
      <c r="G219" s="3">
        <v>33987.33</v>
      </c>
      <c r="H219" s="3">
        <v>5014</v>
      </c>
      <c r="I219" s="3">
        <v>0.246</v>
      </c>
      <c r="J219" s="3">
        <v>17</v>
      </c>
      <c r="K219" s="3">
        <f t="shared" si="18"/>
        <v>0</v>
      </c>
      <c r="L219" s="3">
        <f t="shared" si="19"/>
        <v>1</v>
      </c>
      <c r="M219" s="3">
        <f t="shared" si="20"/>
        <v>0</v>
      </c>
      <c r="N219" s="3">
        <v>94.3</v>
      </c>
      <c r="O219" s="3">
        <v>10.34</v>
      </c>
      <c r="P219" s="3">
        <v>0</v>
      </c>
      <c r="Q219" s="3">
        <v>3.9</v>
      </c>
      <c r="R219" s="3">
        <f t="shared" si="21"/>
        <v>0</v>
      </c>
      <c r="S219" s="3">
        <f t="shared" si="22"/>
        <v>0</v>
      </c>
      <c r="T219" s="3">
        <f t="shared" si="23"/>
        <v>0</v>
      </c>
    </row>
    <row r="220" spans="1:20">
      <c r="A220" s="3" t="s">
        <v>76</v>
      </c>
      <c r="B220" s="4">
        <v>45717</v>
      </c>
      <c r="C220" s="3" t="s">
        <v>20</v>
      </c>
      <c r="D220" s="3" t="s">
        <v>21</v>
      </c>
      <c r="E220" s="3">
        <v>673348.56</v>
      </c>
      <c r="F220" s="3">
        <v>69464.59</v>
      </c>
      <c r="G220" s="3">
        <v>58785.33</v>
      </c>
      <c r="H220" s="3">
        <v>4467</v>
      </c>
      <c r="I220" s="3">
        <v>0.22900000000000001</v>
      </c>
      <c r="J220" s="3">
        <v>14</v>
      </c>
      <c r="K220" s="3">
        <f t="shared" si="18"/>
        <v>0</v>
      </c>
      <c r="L220" s="3">
        <f t="shared" si="19"/>
        <v>1</v>
      </c>
      <c r="M220" s="3">
        <f t="shared" si="20"/>
        <v>0</v>
      </c>
      <c r="N220" s="3">
        <v>90.7</v>
      </c>
      <c r="O220" s="3">
        <v>1.92</v>
      </c>
      <c r="P220" s="3">
        <v>0</v>
      </c>
      <c r="Q220" s="3">
        <v>3.7</v>
      </c>
      <c r="R220" s="3">
        <f t="shared" si="21"/>
        <v>0</v>
      </c>
      <c r="S220" s="3">
        <f t="shared" si="22"/>
        <v>0</v>
      </c>
      <c r="T220" s="3">
        <f t="shared" si="23"/>
        <v>0</v>
      </c>
    </row>
    <row r="221" spans="1:20">
      <c r="A221" s="3" t="s">
        <v>76</v>
      </c>
      <c r="B221" s="4">
        <v>45748</v>
      </c>
      <c r="C221" s="3" t="s">
        <v>20</v>
      </c>
      <c r="D221" s="3" t="s">
        <v>21</v>
      </c>
      <c r="E221" s="3">
        <v>606278.30000000005</v>
      </c>
      <c r="F221" s="3">
        <v>102213.26</v>
      </c>
      <c r="G221" s="3">
        <v>16451.849999999999</v>
      </c>
      <c r="H221" s="3">
        <v>4678</v>
      </c>
      <c r="I221" s="3">
        <v>0.13300000000000001</v>
      </c>
      <c r="J221" s="3">
        <v>11</v>
      </c>
      <c r="K221" s="3">
        <f t="shared" si="18"/>
        <v>0</v>
      </c>
      <c r="L221" s="3">
        <f t="shared" si="19"/>
        <v>1</v>
      </c>
      <c r="M221" s="3">
        <f t="shared" si="20"/>
        <v>0</v>
      </c>
      <c r="N221" s="3">
        <v>95.9</v>
      </c>
      <c r="O221" s="3">
        <v>3.1</v>
      </c>
      <c r="P221" s="3">
        <v>0</v>
      </c>
      <c r="Q221" s="3">
        <v>3.9</v>
      </c>
      <c r="R221" s="3">
        <f t="shared" si="21"/>
        <v>0</v>
      </c>
      <c r="S221" s="3">
        <f t="shared" si="22"/>
        <v>0</v>
      </c>
      <c r="T221" s="3">
        <f t="shared" si="23"/>
        <v>0</v>
      </c>
    </row>
    <row r="222" spans="1:20">
      <c r="A222" s="3" t="s">
        <v>77</v>
      </c>
      <c r="B222" s="4">
        <v>45658</v>
      </c>
      <c r="C222" s="3" t="s">
        <v>15</v>
      </c>
      <c r="D222" s="3" t="s">
        <v>18</v>
      </c>
      <c r="E222" s="3">
        <v>712219.81</v>
      </c>
      <c r="F222" s="3">
        <v>85906.54</v>
      </c>
      <c r="G222" s="3">
        <v>53367.73</v>
      </c>
      <c r="H222" s="3">
        <v>7291</v>
      </c>
      <c r="I222" s="3">
        <v>0.14599999999999999</v>
      </c>
      <c r="J222" s="3">
        <v>18</v>
      </c>
      <c r="K222" s="3">
        <f t="shared" si="18"/>
        <v>1</v>
      </c>
      <c r="L222" s="3">
        <f t="shared" si="19"/>
        <v>0</v>
      </c>
      <c r="M222" s="3">
        <f t="shared" si="20"/>
        <v>0</v>
      </c>
      <c r="N222" s="3">
        <v>90.6</v>
      </c>
      <c r="O222" s="3">
        <v>6.34</v>
      </c>
      <c r="P222" s="3">
        <v>1</v>
      </c>
      <c r="Q222" s="3">
        <v>3.8</v>
      </c>
      <c r="R222" s="3">
        <f t="shared" si="21"/>
        <v>1</v>
      </c>
      <c r="S222" s="3">
        <f t="shared" si="22"/>
        <v>0</v>
      </c>
      <c r="T222" s="3">
        <f t="shared" si="23"/>
        <v>0</v>
      </c>
    </row>
    <row r="223" spans="1:20">
      <c r="A223" s="3" t="s">
        <v>77</v>
      </c>
      <c r="B223" s="4">
        <v>45689</v>
      </c>
      <c r="C223" s="3" t="s">
        <v>15</v>
      </c>
      <c r="D223" s="3" t="s">
        <v>18</v>
      </c>
      <c r="E223" s="3">
        <v>672670.54</v>
      </c>
      <c r="F223" s="3">
        <v>132684.18</v>
      </c>
      <c r="G223" s="3">
        <v>27194.639999999999</v>
      </c>
      <c r="H223" s="3">
        <v>7404</v>
      </c>
      <c r="I223" s="3">
        <v>8.7999999999999995E-2</v>
      </c>
      <c r="J223" s="3">
        <v>18</v>
      </c>
      <c r="K223" s="3">
        <f t="shared" si="18"/>
        <v>1</v>
      </c>
      <c r="L223" s="3">
        <f t="shared" si="19"/>
        <v>0</v>
      </c>
      <c r="M223" s="3">
        <f t="shared" si="20"/>
        <v>0</v>
      </c>
      <c r="N223" s="3">
        <v>90.2</v>
      </c>
      <c r="O223" s="3">
        <v>1.2</v>
      </c>
      <c r="P223" s="3">
        <v>0</v>
      </c>
      <c r="Q223" s="3">
        <v>3.4</v>
      </c>
      <c r="R223" s="3">
        <f t="shared" si="21"/>
        <v>1</v>
      </c>
      <c r="S223" s="3">
        <f t="shared" si="22"/>
        <v>0</v>
      </c>
      <c r="T223" s="3">
        <f t="shared" si="23"/>
        <v>0</v>
      </c>
    </row>
    <row r="224" spans="1:20">
      <c r="A224" s="3" t="s">
        <v>77</v>
      </c>
      <c r="B224" s="4">
        <v>45717</v>
      </c>
      <c r="C224" s="3" t="s">
        <v>15</v>
      </c>
      <c r="D224" s="3" t="s">
        <v>18</v>
      </c>
      <c r="E224" s="3">
        <v>732667.92</v>
      </c>
      <c r="F224" s="3">
        <v>128654.46</v>
      </c>
      <c r="G224" s="3">
        <v>66962.740000000005</v>
      </c>
      <c r="H224" s="3">
        <v>7880</v>
      </c>
      <c r="I224" s="3">
        <v>0.11600000000000001</v>
      </c>
      <c r="J224" s="3">
        <v>19</v>
      </c>
      <c r="K224" s="3">
        <f t="shared" si="18"/>
        <v>1</v>
      </c>
      <c r="L224" s="3">
        <f t="shared" si="19"/>
        <v>0</v>
      </c>
      <c r="M224" s="3">
        <f t="shared" si="20"/>
        <v>0</v>
      </c>
      <c r="N224" s="3">
        <v>90.4</v>
      </c>
      <c r="O224" s="3">
        <v>4.5</v>
      </c>
      <c r="P224" s="3">
        <v>0</v>
      </c>
      <c r="Q224" s="3">
        <v>3.3</v>
      </c>
      <c r="R224" s="3">
        <f t="shared" si="21"/>
        <v>1</v>
      </c>
      <c r="S224" s="3">
        <f t="shared" si="22"/>
        <v>0</v>
      </c>
      <c r="T224" s="3">
        <f t="shared" si="23"/>
        <v>0</v>
      </c>
    </row>
    <row r="225" spans="1:20">
      <c r="A225" s="3" t="s">
        <v>77</v>
      </c>
      <c r="B225" s="4">
        <v>45748</v>
      </c>
      <c r="C225" s="3" t="s">
        <v>15</v>
      </c>
      <c r="D225" s="3" t="s">
        <v>18</v>
      </c>
      <c r="E225" s="3">
        <v>723531.4</v>
      </c>
      <c r="F225" s="3">
        <v>108794.85</v>
      </c>
      <c r="G225" s="3">
        <v>73540.990000000005</v>
      </c>
      <c r="H225" s="3">
        <v>8773</v>
      </c>
      <c r="I225" s="3">
        <v>3.5000000000000003E-2</v>
      </c>
      <c r="J225" s="3">
        <v>21</v>
      </c>
      <c r="K225" s="3">
        <f t="shared" si="18"/>
        <v>1</v>
      </c>
      <c r="L225" s="3">
        <f t="shared" si="19"/>
        <v>0</v>
      </c>
      <c r="M225" s="3">
        <f t="shared" si="20"/>
        <v>0</v>
      </c>
      <c r="N225" s="3">
        <v>84.4</v>
      </c>
      <c r="O225" s="3">
        <v>6.68</v>
      </c>
      <c r="P225" s="3">
        <v>0</v>
      </c>
      <c r="Q225" s="3">
        <v>3.6</v>
      </c>
      <c r="R225" s="3">
        <f t="shared" si="21"/>
        <v>1</v>
      </c>
      <c r="S225" s="3">
        <f t="shared" si="22"/>
        <v>0</v>
      </c>
      <c r="T225" s="3">
        <f t="shared" si="23"/>
        <v>0</v>
      </c>
    </row>
    <row r="226" spans="1:20">
      <c r="A226" s="3" t="s">
        <v>78</v>
      </c>
      <c r="B226" s="4">
        <v>45658</v>
      </c>
      <c r="C226" s="3" t="s">
        <v>15</v>
      </c>
      <c r="D226" s="3" t="s">
        <v>28</v>
      </c>
      <c r="E226" s="3">
        <v>641564.6</v>
      </c>
      <c r="F226" s="3">
        <v>90468.96</v>
      </c>
      <c r="G226" s="3">
        <v>68212.289999999994</v>
      </c>
      <c r="H226" s="3">
        <v>4713</v>
      </c>
      <c r="I226" s="3">
        <v>0.19800000000000001</v>
      </c>
      <c r="J226" s="3">
        <v>15</v>
      </c>
      <c r="K226" s="3">
        <f t="shared" si="18"/>
        <v>0</v>
      </c>
      <c r="L226" s="3">
        <f t="shared" si="19"/>
        <v>0</v>
      </c>
      <c r="M226" s="3">
        <f t="shared" si="20"/>
        <v>1</v>
      </c>
      <c r="N226" s="3">
        <v>82.6</v>
      </c>
      <c r="O226" s="3">
        <v>4.07</v>
      </c>
      <c r="P226" s="3">
        <v>1</v>
      </c>
      <c r="Q226" s="3">
        <v>3</v>
      </c>
      <c r="R226" s="3">
        <f t="shared" si="21"/>
        <v>1</v>
      </c>
      <c r="S226" s="3">
        <f t="shared" si="22"/>
        <v>0</v>
      </c>
      <c r="T226" s="3">
        <f t="shared" si="23"/>
        <v>0</v>
      </c>
    </row>
    <row r="227" spans="1:20">
      <c r="A227" s="3" t="s">
        <v>78</v>
      </c>
      <c r="B227" s="4">
        <v>45689</v>
      </c>
      <c r="C227" s="3" t="s">
        <v>15</v>
      </c>
      <c r="D227" s="3" t="s">
        <v>28</v>
      </c>
      <c r="E227" s="3">
        <v>536545.49</v>
      </c>
      <c r="F227" s="3">
        <v>97917.45</v>
      </c>
      <c r="G227" s="3">
        <v>57225.98</v>
      </c>
      <c r="H227" s="3">
        <v>2842</v>
      </c>
      <c r="I227" s="3">
        <v>0.112</v>
      </c>
      <c r="J227" s="3">
        <v>10</v>
      </c>
      <c r="K227" s="3">
        <f t="shared" si="18"/>
        <v>0</v>
      </c>
      <c r="L227" s="3">
        <f t="shared" si="19"/>
        <v>0</v>
      </c>
      <c r="M227" s="3">
        <f t="shared" si="20"/>
        <v>1</v>
      </c>
      <c r="N227" s="3">
        <v>79.5</v>
      </c>
      <c r="O227" s="3">
        <v>5.45</v>
      </c>
      <c r="P227" s="3">
        <v>0</v>
      </c>
      <c r="Q227" s="3">
        <v>3.4</v>
      </c>
      <c r="R227" s="3">
        <f t="shared" si="21"/>
        <v>1</v>
      </c>
      <c r="S227" s="3">
        <f t="shared" si="22"/>
        <v>0</v>
      </c>
      <c r="T227" s="3">
        <f t="shared" si="23"/>
        <v>0</v>
      </c>
    </row>
    <row r="228" spans="1:20">
      <c r="A228" s="3" t="s">
        <v>78</v>
      </c>
      <c r="B228" s="4">
        <v>45717</v>
      </c>
      <c r="C228" s="3" t="s">
        <v>15</v>
      </c>
      <c r="D228" s="3" t="s">
        <v>28</v>
      </c>
      <c r="E228" s="3">
        <v>527681.56000000006</v>
      </c>
      <c r="F228" s="3">
        <v>63153.05</v>
      </c>
      <c r="G228" s="3">
        <v>42932.02</v>
      </c>
      <c r="H228" s="3">
        <v>3872</v>
      </c>
      <c r="I228" s="3">
        <v>0.17100000000000001</v>
      </c>
      <c r="J228" s="3">
        <v>12</v>
      </c>
      <c r="K228" s="3">
        <f t="shared" si="18"/>
        <v>0</v>
      </c>
      <c r="L228" s="3">
        <f t="shared" si="19"/>
        <v>0</v>
      </c>
      <c r="M228" s="3">
        <f t="shared" si="20"/>
        <v>1</v>
      </c>
      <c r="N228" s="3">
        <v>83.2</v>
      </c>
      <c r="O228" s="3">
        <v>15.58</v>
      </c>
      <c r="P228" s="3">
        <v>0</v>
      </c>
      <c r="Q228" s="3">
        <v>3.3</v>
      </c>
      <c r="R228" s="3">
        <f t="shared" si="21"/>
        <v>1</v>
      </c>
      <c r="S228" s="3">
        <f t="shared" si="22"/>
        <v>0</v>
      </c>
      <c r="T228" s="3">
        <f t="shared" si="23"/>
        <v>0</v>
      </c>
    </row>
    <row r="229" spans="1:20">
      <c r="A229" s="3" t="s">
        <v>78</v>
      </c>
      <c r="B229" s="4">
        <v>45748</v>
      </c>
      <c r="C229" s="3" t="s">
        <v>15</v>
      </c>
      <c r="D229" s="3" t="s">
        <v>28</v>
      </c>
      <c r="E229" s="3">
        <v>529598.93999999994</v>
      </c>
      <c r="F229" s="3">
        <v>84334.33</v>
      </c>
      <c r="G229" s="3">
        <v>39341.449999999997</v>
      </c>
      <c r="H229" s="3">
        <v>1375</v>
      </c>
      <c r="I229" s="3">
        <v>9.2999999999999999E-2</v>
      </c>
      <c r="J229" s="3">
        <v>5</v>
      </c>
      <c r="K229" s="3">
        <f t="shared" si="18"/>
        <v>0</v>
      </c>
      <c r="L229" s="3">
        <f t="shared" si="19"/>
        <v>0</v>
      </c>
      <c r="M229" s="3">
        <f t="shared" si="20"/>
        <v>1</v>
      </c>
      <c r="N229" s="3">
        <v>95</v>
      </c>
      <c r="O229" s="3">
        <v>5.32</v>
      </c>
      <c r="P229" s="3">
        <v>0</v>
      </c>
      <c r="Q229" s="5">
        <v>3.9</v>
      </c>
      <c r="R229" s="3">
        <f t="shared" si="21"/>
        <v>1</v>
      </c>
      <c r="S229" s="3">
        <f t="shared" si="22"/>
        <v>0</v>
      </c>
      <c r="T229" s="3">
        <f t="shared" si="23"/>
        <v>0</v>
      </c>
    </row>
    <row r="230" spans="1:20">
      <c r="A230" s="3" t="s">
        <v>79</v>
      </c>
      <c r="B230" s="4">
        <v>45658</v>
      </c>
      <c r="C230" s="3" t="s">
        <v>15</v>
      </c>
      <c r="D230" s="3" t="s">
        <v>18</v>
      </c>
      <c r="E230" s="3">
        <v>570963.31000000006</v>
      </c>
      <c r="F230" s="3">
        <v>87342.25</v>
      </c>
      <c r="G230" s="3">
        <v>37324.230000000003</v>
      </c>
      <c r="H230" s="3">
        <v>5957</v>
      </c>
      <c r="I230" s="3">
        <v>7.0999999999999994E-2</v>
      </c>
      <c r="J230" s="3">
        <v>12</v>
      </c>
      <c r="K230" s="3">
        <f t="shared" si="18"/>
        <v>1</v>
      </c>
      <c r="L230" s="3">
        <f t="shared" si="19"/>
        <v>0</v>
      </c>
      <c r="M230" s="3">
        <f t="shared" si="20"/>
        <v>0</v>
      </c>
      <c r="N230" s="3">
        <v>85.9</v>
      </c>
      <c r="O230" s="3">
        <v>0.37</v>
      </c>
      <c r="P230" s="3">
        <v>0</v>
      </c>
      <c r="Q230" s="3">
        <v>3.8</v>
      </c>
      <c r="R230" s="3">
        <f t="shared" si="21"/>
        <v>1</v>
      </c>
      <c r="S230" s="3">
        <f t="shared" si="22"/>
        <v>0</v>
      </c>
      <c r="T230" s="3">
        <f t="shared" si="23"/>
        <v>0</v>
      </c>
    </row>
    <row r="231" spans="1:20">
      <c r="A231" s="3" t="s">
        <v>79</v>
      </c>
      <c r="B231" s="4">
        <v>45689</v>
      </c>
      <c r="C231" s="3" t="s">
        <v>15</v>
      </c>
      <c r="D231" s="3" t="s">
        <v>18</v>
      </c>
      <c r="E231" s="3">
        <v>870937.4</v>
      </c>
      <c r="F231" s="3">
        <v>175282.74</v>
      </c>
      <c r="G231" s="3">
        <v>113736</v>
      </c>
      <c r="H231" s="3">
        <v>8961</v>
      </c>
      <c r="I231" s="3">
        <v>0.20200000000000001</v>
      </c>
      <c r="J231" s="3">
        <v>24</v>
      </c>
      <c r="K231" s="3">
        <f t="shared" si="18"/>
        <v>1</v>
      </c>
      <c r="L231" s="3">
        <f t="shared" si="19"/>
        <v>0</v>
      </c>
      <c r="M231" s="3">
        <f t="shared" si="20"/>
        <v>0</v>
      </c>
      <c r="N231" s="3">
        <v>86.2</v>
      </c>
      <c r="O231" s="3">
        <v>21.63</v>
      </c>
      <c r="P231" s="3">
        <v>0</v>
      </c>
      <c r="Q231" s="3">
        <v>4</v>
      </c>
      <c r="R231" s="3">
        <f t="shared" si="21"/>
        <v>1</v>
      </c>
      <c r="S231" s="3">
        <f t="shared" si="22"/>
        <v>0</v>
      </c>
      <c r="T231" s="3">
        <f t="shared" si="23"/>
        <v>0</v>
      </c>
    </row>
    <row r="232" spans="1:20">
      <c r="A232" s="3" t="s">
        <v>79</v>
      </c>
      <c r="B232" s="4">
        <v>45717</v>
      </c>
      <c r="C232" s="3" t="s">
        <v>15</v>
      </c>
      <c r="D232" s="3" t="s">
        <v>18</v>
      </c>
      <c r="E232" s="3">
        <v>596969.27</v>
      </c>
      <c r="F232" s="3">
        <v>105669.51</v>
      </c>
      <c r="G232" s="3">
        <v>33173.949999999997</v>
      </c>
      <c r="H232" s="3">
        <v>6545</v>
      </c>
      <c r="I232" s="3">
        <v>0.16900000000000001</v>
      </c>
      <c r="J232" s="3">
        <v>15</v>
      </c>
      <c r="K232" s="3">
        <f t="shared" si="18"/>
        <v>1</v>
      </c>
      <c r="L232" s="3">
        <f t="shared" si="19"/>
        <v>0</v>
      </c>
      <c r="M232" s="3">
        <f t="shared" si="20"/>
        <v>0</v>
      </c>
      <c r="N232" s="3">
        <v>84.4</v>
      </c>
      <c r="O232" s="3">
        <v>2.48</v>
      </c>
      <c r="P232" s="3">
        <v>0</v>
      </c>
      <c r="Q232" s="3">
        <v>3.9</v>
      </c>
      <c r="R232" s="3">
        <f t="shared" si="21"/>
        <v>1</v>
      </c>
      <c r="S232" s="3">
        <f t="shared" si="22"/>
        <v>0</v>
      </c>
      <c r="T232" s="3">
        <f t="shared" si="23"/>
        <v>0</v>
      </c>
    </row>
    <row r="233" spans="1:20">
      <c r="A233" s="3" t="s">
        <v>79</v>
      </c>
      <c r="B233" s="4">
        <v>45748</v>
      </c>
      <c r="C233" s="3" t="s">
        <v>15</v>
      </c>
      <c r="D233" s="3" t="s">
        <v>18</v>
      </c>
      <c r="E233" s="3">
        <v>647512.85</v>
      </c>
      <c r="F233" s="3">
        <v>153835.57</v>
      </c>
      <c r="G233" s="3">
        <v>25818.080000000002</v>
      </c>
      <c r="H233" s="3">
        <v>5457</v>
      </c>
      <c r="I233" s="3">
        <v>0</v>
      </c>
      <c r="J233" s="3">
        <v>11</v>
      </c>
      <c r="K233" s="3">
        <f t="shared" si="18"/>
        <v>1</v>
      </c>
      <c r="L233" s="3">
        <f t="shared" si="19"/>
        <v>0</v>
      </c>
      <c r="M233" s="3">
        <f t="shared" si="20"/>
        <v>0</v>
      </c>
      <c r="N233" s="3">
        <v>95.4</v>
      </c>
      <c r="O233" s="5">
        <v>4.5599999999999996</v>
      </c>
      <c r="P233" s="3">
        <v>0</v>
      </c>
      <c r="Q233" s="3">
        <v>3.7</v>
      </c>
      <c r="R233" s="3">
        <f t="shared" si="21"/>
        <v>1</v>
      </c>
      <c r="S233" s="3">
        <f t="shared" si="22"/>
        <v>0</v>
      </c>
      <c r="T233" s="3">
        <f t="shared" si="23"/>
        <v>0</v>
      </c>
    </row>
    <row r="234" spans="1:20">
      <c r="A234" s="3" t="s">
        <v>80</v>
      </c>
      <c r="B234" s="4">
        <v>45658</v>
      </c>
      <c r="C234" s="3" t="s">
        <v>27</v>
      </c>
      <c r="D234" s="3" t="s">
        <v>16</v>
      </c>
      <c r="E234" s="3">
        <v>658072.14</v>
      </c>
      <c r="F234" s="3">
        <v>110595.89</v>
      </c>
      <c r="G234" s="3">
        <v>47241.919999999998</v>
      </c>
      <c r="H234" s="3">
        <v>4264</v>
      </c>
      <c r="I234" s="3">
        <v>6.9000000000000006E-2</v>
      </c>
      <c r="J234" s="3">
        <v>13</v>
      </c>
      <c r="K234" s="3">
        <f t="shared" si="18"/>
        <v>0</v>
      </c>
      <c r="L234" s="3">
        <f t="shared" si="19"/>
        <v>0</v>
      </c>
      <c r="M234" s="3">
        <f t="shared" si="20"/>
        <v>0</v>
      </c>
      <c r="N234" s="3">
        <v>95.3</v>
      </c>
      <c r="O234" s="3">
        <v>0.85</v>
      </c>
      <c r="P234" s="3">
        <v>0</v>
      </c>
      <c r="Q234" s="3">
        <v>4.3</v>
      </c>
      <c r="R234" s="3">
        <f t="shared" si="21"/>
        <v>0</v>
      </c>
      <c r="S234" s="3">
        <f t="shared" si="22"/>
        <v>0</v>
      </c>
      <c r="T234" s="3">
        <f t="shared" si="23"/>
        <v>1</v>
      </c>
    </row>
    <row r="235" spans="1:20">
      <c r="A235" s="3" t="s">
        <v>80</v>
      </c>
      <c r="B235" s="4">
        <v>45689</v>
      </c>
      <c r="C235" s="3" t="s">
        <v>27</v>
      </c>
      <c r="D235" s="3" t="s">
        <v>16</v>
      </c>
      <c r="E235" s="3">
        <v>723305.11</v>
      </c>
      <c r="F235" s="3">
        <v>128468.7</v>
      </c>
      <c r="G235" s="3">
        <v>61650.79</v>
      </c>
      <c r="H235" s="3">
        <v>5321</v>
      </c>
      <c r="I235" s="3">
        <v>0.126</v>
      </c>
      <c r="J235" s="3">
        <v>17</v>
      </c>
      <c r="K235" s="3">
        <f t="shared" si="18"/>
        <v>0</v>
      </c>
      <c r="L235" s="3">
        <f t="shared" si="19"/>
        <v>0</v>
      </c>
      <c r="M235" s="3">
        <f t="shared" si="20"/>
        <v>0</v>
      </c>
      <c r="N235" s="3">
        <v>89.2</v>
      </c>
      <c r="O235" s="3">
        <v>2.13</v>
      </c>
      <c r="P235" s="3">
        <v>0</v>
      </c>
      <c r="Q235" s="3">
        <v>4</v>
      </c>
      <c r="R235" s="3">
        <f t="shared" si="21"/>
        <v>0</v>
      </c>
      <c r="S235" s="3">
        <f t="shared" si="22"/>
        <v>0</v>
      </c>
      <c r="T235" s="3">
        <f t="shared" si="23"/>
        <v>1</v>
      </c>
    </row>
    <row r="236" spans="1:20">
      <c r="A236" s="3" t="s">
        <v>80</v>
      </c>
      <c r="B236" s="4">
        <v>45717</v>
      </c>
      <c r="C236" s="3" t="s">
        <v>27</v>
      </c>
      <c r="D236" s="3" t="s">
        <v>16</v>
      </c>
      <c r="E236" s="3">
        <v>640666.53</v>
      </c>
      <c r="F236" s="3">
        <v>134919.16</v>
      </c>
      <c r="G236" s="3">
        <v>62582.71</v>
      </c>
      <c r="H236" s="3">
        <v>5479</v>
      </c>
      <c r="I236" s="3">
        <v>4.8000000000000001E-2</v>
      </c>
      <c r="J236" s="3">
        <v>16</v>
      </c>
      <c r="K236" s="3">
        <f t="shared" si="18"/>
        <v>0</v>
      </c>
      <c r="L236" s="3">
        <f t="shared" si="19"/>
        <v>0</v>
      </c>
      <c r="M236" s="3">
        <f t="shared" si="20"/>
        <v>0</v>
      </c>
      <c r="N236" s="3">
        <v>81.2</v>
      </c>
      <c r="O236" s="3">
        <v>1.46</v>
      </c>
      <c r="P236" s="3">
        <v>0</v>
      </c>
      <c r="Q236" s="3">
        <v>4.5</v>
      </c>
      <c r="R236" s="3">
        <f t="shared" si="21"/>
        <v>0</v>
      </c>
      <c r="S236" s="3">
        <f t="shared" si="22"/>
        <v>0</v>
      </c>
      <c r="T236" s="3">
        <f t="shared" si="23"/>
        <v>1</v>
      </c>
    </row>
    <row r="237" spans="1:20">
      <c r="A237" s="3" t="s">
        <v>80</v>
      </c>
      <c r="B237" s="4">
        <v>45748</v>
      </c>
      <c r="C237" s="3" t="s">
        <v>27</v>
      </c>
      <c r="D237" s="3" t="s">
        <v>16</v>
      </c>
      <c r="E237" s="3">
        <v>670629.48</v>
      </c>
      <c r="F237" s="3">
        <v>100140.8</v>
      </c>
      <c r="G237" s="3">
        <v>47944.14</v>
      </c>
      <c r="H237" s="3">
        <v>6169</v>
      </c>
      <c r="I237" s="3">
        <v>0.11899999999999999</v>
      </c>
      <c r="J237" s="3">
        <v>17</v>
      </c>
      <c r="K237" s="3">
        <f t="shared" si="18"/>
        <v>0</v>
      </c>
      <c r="L237" s="3">
        <f t="shared" si="19"/>
        <v>0</v>
      </c>
      <c r="M237" s="3">
        <f t="shared" si="20"/>
        <v>0</v>
      </c>
      <c r="N237" s="3">
        <v>92.2</v>
      </c>
      <c r="O237" s="3">
        <v>3.02</v>
      </c>
      <c r="P237" s="3">
        <v>0</v>
      </c>
      <c r="Q237" s="3">
        <v>4.0999999999999996</v>
      </c>
      <c r="R237" s="3">
        <f t="shared" si="21"/>
        <v>0</v>
      </c>
      <c r="S237" s="3">
        <f t="shared" si="22"/>
        <v>0</v>
      </c>
      <c r="T237" s="3">
        <f t="shared" si="23"/>
        <v>1</v>
      </c>
    </row>
    <row r="238" spans="1:20">
      <c r="A238" s="3" t="s">
        <v>81</v>
      </c>
      <c r="B238" s="4">
        <v>45658</v>
      </c>
      <c r="C238" s="3" t="s">
        <v>27</v>
      </c>
      <c r="D238" s="3" t="s">
        <v>28</v>
      </c>
      <c r="E238" s="3">
        <v>721079.35</v>
      </c>
      <c r="F238" s="3">
        <v>115295.05</v>
      </c>
      <c r="G238" s="3">
        <v>46495.4</v>
      </c>
      <c r="H238" s="3">
        <v>9908</v>
      </c>
      <c r="I238" s="3">
        <v>0.121</v>
      </c>
      <c r="J238" s="3">
        <v>22</v>
      </c>
      <c r="K238" s="3">
        <f t="shared" si="18"/>
        <v>0</v>
      </c>
      <c r="L238" s="3">
        <f t="shared" si="19"/>
        <v>0</v>
      </c>
      <c r="M238" s="3">
        <f t="shared" si="20"/>
        <v>1</v>
      </c>
      <c r="N238" s="3">
        <v>89.4</v>
      </c>
      <c r="O238" s="3">
        <v>3.22</v>
      </c>
      <c r="P238" s="3">
        <v>0</v>
      </c>
      <c r="Q238" s="3">
        <v>3.7</v>
      </c>
      <c r="R238" s="3">
        <f t="shared" si="21"/>
        <v>0</v>
      </c>
      <c r="S238" s="3">
        <f t="shared" si="22"/>
        <v>0</v>
      </c>
      <c r="T238" s="3">
        <f t="shared" si="23"/>
        <v>1</v>
      </c>
    </row>
    <row r="239" spans="1:20">
      <c r="A239" s="3" t="s">
        <v>81</v>
      </c>
      <c r="B239" s="4">
        <v>45689</v>
      </c>
      <c r="C239" s="3" t="s">
        <v>27</v>
      </c>
      <c r="D239" s="3" t="s">
        <v>28</v>
      </c>
      <c r="E239" s="3">
        <v>810355.02</v>
      </c>
      <c r="F239" s="3">
        <v>131510</v>
      </c>
      <c r="G239" s="3">
        <v>72961.95</v>
      </c>
      <c r="H239" s="3">
        <v>9996</v>
      </c>
      <c r="I239" s="3">
        <v>0.106</v>
      </c>
      <c r="J239" s="3">
        <v>22</v>
      </c>
      <c r="K239" s="3">
        <f t="shared" si="18"/>
        <v>0</v>
      </c>
      <c r="L239" s="3">
        <f t="shared" si="19"/>
        <v>0</v>
      </c>
      <c r="M239" s="3">
        <f t="shared" si="20"/>
        <v>1</v>
      </c>
      <c r="N239" s="3">
        <v>89.1</v>
      </c>
      <c r="O239" s="3">
        <v>15.66</v>
      </c>
      <c r="P239" s="3">
        <v>0</v>
      </c>
      <c r="Q239" s="3">
        <v>3.4</v>
      </c>
      <c r="R239" s="3">
        <f t="shared" si="21"/>
        <v>0</v>
      </c>
      <c r="S239" s="3">
        <f t="shared" si="22"/>
        <v>0</v>
      </c>
      <c r="T239" s="3">
        <f t="shared" si="23"/>
        <v>1</v>
      </c>
    </row>
    <row r="240" spans="1:20">
      <c r="A240" s="3" t="s">
        <v>81</v>
      </c>
      <c r="B240" s="4">
        <v>45717</v>
      </c>
      <c r="C240" s="3" t="s">
        <v>27</v>
      </c>
      <c r="D240" s="3" t="s">
        <v>28</v>
      </c>
      <c r="E240" s="3">
        <v>761919.25</v>
      </c>
      <c r="F240" s="3">
        <v>111893.06</v>
      </c>
      <c r="G240" s="3">
        <v>59060.05</v>
      </c>
      <c r="H240" s="3">
        <v>9702</v>
      </c>
      <c r="I240" s="3">
        <v>0.20100000000000001</v>
      </c>
      <c r="J240" s="3">
        <v>23</v>
      </c>
      <c r="K240" s="3">
        <f t="shared" si="18"/>
        <v>0</v>
      </c>
      <c r="L240" s="3">
        <f t="shared" si="19"/>
        <v>0</v>
      </c>
      <c r="M240" s="3">
        <f t="shared" si="20"/>
        <v>1</v>
      </c>
      <c r="N240" s="3">
        <v>80.900000000000006</v>
      </c>
      <c r="O240" s="3">
        <v>6.96</v>
      </c>
      <c r="P240" s="3">
        <v>0</v>
      </c>
      <c r="Q240" s="3">
        <v>3.2</v>
      </c>
      <c r="R240" s="3">
        <f t="shared" si="21"/>
        <v>0</v>
      </c>
      <c r="S240" s="3">
        <f t="shared" si="22"/>
        <v>0</v>
      </c>
      <c r="T240" s="3">
        <f t="shared" si="23"/>
        <v>1</v>
      </c>
    </row>
    <row r="241" spans="1:20">
      <c r="A241" s="3" t="s">
        <v>81</v>
      </c>
      <c r="B241" s="4">
        <v>45748</v>
      </c>
      <c r="C241" s="3" t="s">
        <v>27</v>
      </c>
      <c r="D241" s="3" t="s">
        <v>28</v>
      </c>
      <c r="E241" s="3">
        <v>737070.18</v>
      </c>
      <c r="F241" s="3">
        <v>117593.97</v>
      </c>
      <c r="G241" s="3">
        <v>26248.1</v>
      </c>
      <c r="H241" s="3">
        <v>9314</v>
      </c>
      <c r="I241" s="3">
        <v>0.186</v>
      </c>
      <c r="J241" s="3">
        <v>21</v>
      </c>
      <c r="K241" s="3">
        <f t="shared" si="18"/>
        <v>0</v>
      </c>
      <c r="L241" s="3">
        <f t="shared" si="19"/>
        <v>0</v>
      </c>
      <c r="M241" s="3">
        <f t="shared" si="20"/>
        <v>1</v>
      </c>
      <c r="N241" s="3">
        <v>83.7</v>
      </c>
      <c r="O241" s="3">
        <v>4.62</v>
      </c>
      <c r="P241" s="3">
        <v>0</v>
      </c>
      <c r="Q241" s="3">
        <v>3.3</v>
      </c>
      <c r="R241" s="3">
        <f t="shared" si="21"/>
        <v>0</v>
      </c>
      <c r="S241" s="3">
        <f t="shared" si="22"/>
        <v>0</v>
      </c>
      <c r="T241" s="3">
        <f t="shared" si="23"/>
        <v>1</v>
      </c>
    </row>
    <row r="242" spans="1:20">
      <c r="A242" s="3" t="s">
        <v>82</v>
      </c>
      <c r="B242" s="4">
        <v>45658</v>
      </c>
      <c r="C242" s="3" t="s">
        <v>24</v>
      </c>
      <c r="D242" s="3" t="s">
        <v>21</v>
      </c>
      <c r="E242" s="3">
        <v>776992.93</v>
      </c>
      <c r="F242" s="3">
        <v>101598.32</v>
      </c>
      <c r="G242" s="3">
        <v>69900.12</v>
      </c>
      <c r="H242" s="3">
        <v>8055</v>
      </c>
      <c r="I242" s="3">
        <v>0.28100000000000003</v>
      </c>
      <c r="J242" s="3">
        <v>22</v>
      </c>
      <c r="K242" s="3">
        <f t="shared" si="18"/>
        <v>0</v>
      </c>
      <c r="L242" s="3">
        <f t="shared" si="19"/>
        <v>1</v>
      </c>
      <c r="M242" s="3">
        <f t="shared" si="20"/>
        <v>0</v>
      </c>
      <c r="N242" s="3">
        <v>85.6</v>
      </c>
      <c r="O242" s="3">
        <v>10.68</v>
      </c>
      <c r="P242" s="3">
        <v>1</v>
      </c>
      <c r="Q242" s="3">
        <v>2.9</v>
      </c>
      <c r="R242" s="3">
        <f t="shared" si="21"/>
        <v>0</v>
      </c>
      <c r="S242" s="3">
        <f t="shared" si="22"/>
        <v>1</v>
      </c>
      <c r="T242" s="3">
        <f t="shared" si="23"/>
        <v>0</v>
      </c>
    </row>
    <row r="243" spans="1:20">
      <c r="A243" s="3" t="s">
        <v>82</v>
      </c>
      <c r="B243" s="4">
        <v>45689</v>
      </c>
      <c r="C243" s="3" t="s">
        <v>24</v>
      </c>
      <c r="D243" s="3" t="s">
        <v>21</v>
      </c>
      <c r="E243" s="3">
        <v>676337.41</v>
      </c>
      <c r="F243" s="3">
        <v>104355.77</v>
      </c>
      <c r="G243" s="3">
        <v>51781.599999999999</v>
      </c>
      <c r="H243" s="3">
        <v>5648</v>
      </c>
      <c r="I243" s="3">
        <v>5.8999999999999997E-2</v>
      </c>
      <c r="J243" s="3">
        <v>13</v>
      </c>
      <c r="K243" s="3">
        <f t="shared" si="18"/>
        <v>0</v>
      </c>
      <c r="L243" s="3">
        <f t="shared" si="19"/>
        <v>1</v>
      </c>
      <c r="M243" s="3">
        <f t="shared" si="20"/>
        <v>0</v>
      </c>
      <c r="N243" s="3">
        <v>85.5</v>
      </c>
      <c r="O243" s="3">
        <v>4.04</v>
      </c>
      <c r="P243" s="3">
        <v>0</v>
      </c>
      <c r="Q243" s="3">
        <v>3.7</v>
      </c>
      <c r="R243" s="3">
        <f t="shared" si="21"/>
        <v>0</v>
      </c>
      <c r="S243" s="3">
        <f t="shared" si="22"/>
        <v>1</v>
      </c>
      <c r="T243" s="3">
        <f t="shared" si="23"/>
        <v>0</v>
      </c>
    </row>
    <row r="244" spans="1:20">
      <c r="A244" s="3" t="s">
        <v>82</v>
      </c>
      <c r="B244" s="4">
        <v>45717</v>
      </c>
      <c r="C244" s="3" t="s">
        <v>24</v>
      </c>
      <c r="D244" s="3" t="s">
        <v>21</v>
      </c>
      <c r="E244" s="3">
        <v>828219.67</v>
      </c>
      <c r="F244" s="3">
        <v>179806.87</v>
      </c>
      <c r="G244" s="3">
        <v>70799.64</v>
      </c>
      <c r="H244" s="3">
        <v>10076</v>
      </c>
      <c r="I244" s="3">
        <v>0.152</v>
      </c>
      <c r="J244" s="3">
        <v>24</v>
      </c>
      <c r="K244" s="3">
        <f t="shared" si="18"/>
        <v>0</v>
      </c>
      <c r="L244" s="3">
        <f t="shared" si="19"/>
        <v>1</v>
      </c>
      <c r="M244" s="3">
        <f t="shared" si="20"/>
        <v>0</v>
      </c>
      <c r="N244" s="3">
        <v>84.8</v>
      </c>
      <c r="O244" s="3">
        <v>1.87</v>
      </c>
      <c r="P244" s="3">
        <v>0</v>
      </c>
      <c r="Q244" s="3">
        <v>3.5</v>
      </c>
      <c r="R244" s="3">
        <f t="shared" si="21"/>
        <v>0</v>
      </c>
      <c r="S244" s="3">
        <f t="shared" si="22"/>
        <v>1</v>
      </c>
      <c r="T244" s="3">
        <f t="shared" si="23"/>
        <v>0</v>
      </c>
    </row>
    <row r="245" spans="1:20">
      <c r="A245" s="3" t="s">
        <v>82</v>
      </c>
      <c r="B245" s="4">
        <v>45748</v>
      </c>
      <c r="C245" s="3" t="s">
        <v>24</v>
      </c>
      <c r="D245" s="3" t="s">
        <v>21</v>
      </c>
      <c r="E245" s="3">
        <v>763159.92</v>
      </c>
      <c r="F245" s="3">
        <v>177104.87</v>
      </c>
      <c r="G245" s="3">
        <v>53546.34</v>
      </c>
      <c r="H245" s="3">
        <v>8004</v>
      </c>
      <c r="I245" s="3">
        <v>0</v>
      </c>
      <c r="J245" s="3">
        <v>21</v>
      </c>
      <c r="K245" s="3">
        <f t="shared" si="18"/>
        <v>0</v>
      </c>
      <c r="L245" s="3">
        <f t="shared" si="19"/>
        <v>1</v>
      </c>
      <c r="M245" s="3">
        <f t="shared" si="20"/>
        <v>0</v>
      </c>
      <c r="N245" s="3">
        <v>95.2</v>
      </c>
      <c r="O245" s="3">
        <v>2.83</v>
      </c>
      <c r="P245" s="3">
        <v>0</v>
      </c>
      <c r="Q245" s="3">
        <v>3</v>
      </c>
      <c r="R245" s="3">
        <f t="shared" si="21"/>
        <v>0</v>
      </c>
      <c r="S245" s="3">
        <f t="shared" si="22"/>
        <v>1</v>
      </c>
      <c r="T245" s="3">
        <f t="shared" si="23"/>
        <v>0</v>
      </c>
    </row>
    <row r="246" spans="1:20">
      <c r="A246" s="3" t="s">
        <v>83</v>
      </c>
      <c r="B246" s="4">
        <v>45658</v>
      </c>
      <c r="C246" s="3" t="s">
        <v>15</v>
      </c>
      <c r="D246" s="3" t="s">
        <v>18</v>
      </c>
      <c r="E246" s="3">
        <v>802001.68</v>
      </c>
      <c r="F246" s="3">
        <v>159715.82</v>
      </c>
      <c r="G246" s="3">
        <v>76942.2</v>
      </c>
      <c r="H246" s="3">
        <v>8934</v>
      </c>
      <c r="I246" s="3">
        <v>8.4000000000000005E-2</v>
      </c>
      <c r="J246" s="3">
        <v>20</v>
      </c>
      <c r="K246" s="3">
        <f t="shared" si="18"/>
        <v>1</v>
      </c>
      <c r="L246" s="3">
        <f t="shared" si="19"/>
        <v>0</v>
      </c>
      <c r="M246" s="3">
        <f t="shared" si="20"/>
        <v>0</v>
      </c>
      <c r="N246" s="3">
        <v>91</v>
      </c>
      <c r="O246" s="3">
        <v>0.95</v>
      </c>
      <c r="P246" s="3">
        <v>0</v>
      </c>
      <c r="Q246" s="3">
        <v>3.2</v>
      </c>
      <c r="R246" s="3">
        <f t="shared" si="21"/>
        <v>1</v>
      </c>
      <c r="S246" s="3">
        <f t="shared" si="22"/>
        <v>0</v>
      </c>
      <c r="T246" s="3">
        <f t="shared" si="23"/>
        <v>0</v>
      </c>
    </row>
    <row r="247" spans="1:20">
      <c r="A247" s="3" t="s">
        <v>83</v>
      </c>
      <c r="B247" s="4">
        <v>45689</v>
      </c>
      <c r="C247" s="3" t="s">
        <v>15</v>
      </c>
      <c r="D247" s="3" t="s">
        <v>18</v>
      </c>
      <c r="E247" s="3">
        <v>750471.34</v>
      </c>
      <c r="F247" s="3">
        <v>133788.04</v>
      </c>
      <c r="G247" s="3">
        <v>48060.78</v>
      </c>
      <c r="H247" s="3">
        <v>8733</v>
      </c>
      <c r="I247" s="3">
        <v>0</v>
      </c>
      <c r="J247" s="3">
        <v>20</v>
      </c>
      <c r="K247" s="3">
        <f t="shared" si="18"/>
        <v>1</v>
      </c>
      <c r="L247" s="3">
        <f t="shared" si="19"/>
        <v>0</v>
      </c>
      <c r="M247" s="3">
        <f t="shared" si="20"/>
        <v>0</v>
      </c>
      <c r="N247" s="3">
        <v>89.9</v>
      </c>
      <c r="O247" s="3">
        <v>0.8</v>
      </c>
      <c r="P247" s="3">
        <v>0</v>
      </c>
      <c r="Q247" s="3">
        <v>3.4</v>
      </c>
      <c r="R247" s="3">
        <f t="shared" si="21"/>
        <v>1</v>
      </c>
      <c r="S247" s="3">
        <f t="shared" si="22"/>
        <v>0</v>
      </c>
      <c r="T247" s="3">
        <f t="shared" si="23"/>
        <v>0</v>
      </c>
    </row>
    <row r="248" spans="1:20">
      <c r="A248" s="3" t="s">
        <v>83</v>
      </c>
      <c r="B248" s="4">
        <v>45717</v>
      </c>
      <c r="C248" s="3" t="s">
        <v>15</v>
      </c>
      <c r="D248" s="3" t="s">
        <v>18</v>
      </c>
      <c r="E248" s="3">
        <v>679230.86</v>
      </c>
      <c r="F248" s="3">
        <v>106927.58</v>
      </c>
      <c r="G248" s="3">
        <v>57390.04</v>
      </c>
      <c r="H248" s="3">
        <v>7374</v>
      </c>
      <c r="I248" s="3">
        <v>0.21</v>
      </c>
      <c r="J248" s="3">
        <v>21</v>
      </c>
      <c r="K248" s="3">
        <f t="shared" si="18"/>
        <v>1</v>
      </c>
      <c r="L248" s="3">
        <f t="shared" si="19"/>
        <v>0</v>
      </c>
      <c r="M248" s="3">
        <f t="shared" si="20"/>
        <v>0</v>
      </c>
      <c r="N248" s="3">
        <v>91.8</v>
      </c>
      <c r="O248" s="3">
        <v>0.2</v>
      </c>
      <c r="P248" s="3">
        <v>0</v>
      </c>
      <c r="Q248" s="3">
        <v>3.1</v>
      </c>
      <c r="R248" s="3">
        <f t="shared" si="21"/>
        <v>1</v>
      </c>
      <c r="S248" s="3">
        <f t="shared" si="22"/>
        <v>0</v>
      </c>
      <c r="T248" s="3">
        <f t="shared" si="23"/>
        <v>0</v>
      </c>
    </row>
    <row r="249" spans="1:20">
      <c r="A249" s="3" t="s">
        <v>83</v>
      </c>
      <c r="B249" s="4">
        <v>45748</v>
      </c>
      <c r="C249" s="3" t="s">
        <v>15</v>
      </c>
      <c r="D249" s="3" t="s">
        <v>18</v>
      </c>
      <c r="E249" s="3">
        <v>679888.74</v>
      </c>
      <c r="F249" s="3">
        <v>83406.89</v>
      </c>
      <c r="G249" s="3">
        <v>21536.18</v>
      </c>
      <c r="H249" s="3">
        <v>8119</v>
      </c>
      <c r="I249" s="3">
        <v>0.22700000000000001</v>
      </c>
      <c r="J249" s="3">
        <v>20</v>
      </c>
      <c r="K249" s="3">
        <f t="shared" si="18"/>
        <v>1</v>
      </c>
      <c r="L249" s="3">
        <f t="shared" si="19"/>
        <v>0</v>
      </c>
      <c r="M249" s="3">
        <f t="shared" si="20"/>
        <v>0</v>
      </c>
      <c r="N249" s="3">
        <v>90.4</v>
      </c>
      <c r="O249" s="3">
        <v>1.7</v>
      </c>
      <c r="P249" s="3">
        <v>0</v>
      </c>
      <c r="Q249" s="3">
        <v>3.3</v>
      </c>
      <c r="R249" s="3">
        <f t="shared" si="21"/>
        <v>1</v>
      </c>
      <c r="S249" s="3">
        <f t="shared" si="22"/>
        <v>0</v>
      </c>
      <c r="T249" s="3">
        <f t="shared" si="23"/>
        <v>0</v>
      </c>
    </row>
    <row r="250" spans="1:20">
      <c r="A250" s="3" t="s">
        <v>84</v>
      </c>
      <c r="B250" s="4">
        <v>45658</v>
      </c>
      <c r="C250" s="3" t="s">
        <v>20</v>
      </c>
      <c r="D250" s="3" t="s">
        <v>18</v>
      </c>
      <c r="E250" s="3">
        <v>606783.67000000004</v>
      </c>
      <c r="F250" s="3">
        <v>74515.87</v>
      </c>
      <c r="G250" s="3">
        <v>40923.67</v>
      </c>
      <c r="H250" s="3">
        <v>3875</v>
      </c>
      <c r="I250" s="3">
        <v>0.15</v>
      </c>
      <c r="J250" s="3">
        <v>10</v>
      </c>
      <c r="K250" s="3">
        <f t="shared" si="18"/>
        <v>1</v>
      </c>
      <c r="L250" s="3">
        <f t="shared" si="19"/>
        <v>0</v>
      </c>
      <c r="M250" s="3">
        <f t="shared" si="20"/>
        <v>0</v>
      </c>
      <c r="N250" s="3">
        <v>96.1</v>
      </c>
      <c r="O250" s="5">
        <v>4.5599999999999996</v>
      </c>
      <c r="P250" s="3">
        <v>0</v>
      </c>
      <c r="Q250" s="3">
        <v>3.8</v>
      </c>
      <c r="R250" s="3">
        <f t="shared" si="21"/>
        <v>0</v>
      </c>
      <c r="S250" s="3">
        <f t="shared" si="22"/>
        <v>0</v>
      </c>
      <c r="T250" s="3">
        <f t="shared" si="23"/>
        <v>0</v>
      </c>
    </row>
    <row r="251" spans="1:20">
      <c r="A251" s="3" t="s">
        <v>84</v>
      </c>
      <c r="B251" s="4">
        <v>45689</v>
      </c>
      <c r="C251" s="3" t="s">
        <v>20</v>
      </c>
      <c r="D251" s="3" t="s">
        <v>18</v>
      </c>
      <c r="E251" s="3">
        <v>642751.42000000004</v>
      </c>
      <c r="F251" s="3">
        <v>131942.15</v>
      </c>
      <c r="G251" s="3">
        <v>72932.55</v>
      </c>
      <c r="H251" s="3">
        <v>5765</v>
      </c>
      <c r="I251" s="3">
        <v>2.5999999999999999E-2</v>
      </c>
      <c r="J251" s="3">
        <v>17</v>
      </c>
      <c r="K251" s="3">
        <f t="shared" si="18"/>
        <v>1</v>
      </c>
      <c r="L251" s="3">
        <f t="shared" si="19"/>
        <v>0</v>
      </c>
      <c r="M251" s="3">
        <f t="shared" si="20"/>
        <v>0</v>
      </c>
      <c r="N251" s="3">
        <v>81.8</v>
      </c>
      <c r="O251" s="3">
        <v>5.0999999999999996</v>
      </c>
      <c r="P251" s="3">
        <v>0</v>
      </c>
      <c r="Q251" s="3">
        <v>3.6</v>
      </c>
      <c r="R251" s="3">
        <f t="shared" si="21"/>
        <v>0</v>
      </c>
      <c r="S251" s="3">
        <f t="shared" si="22"/>
        <v>0</v>
      </c>
      <c r="T251" s="3">
        <f t="shared" si="23"/>
        <v>0</v>
      </c>
    </row>
    <row r="252" spans="1:20">
      <c r="A252" s="3" t="s">
        <v>84</v>
      </c>
      <c r="B252" s="4">
        <v>45717</v>
      </c>
      <c r="C252" s="3" t="s">
        <v>20</v>
      </c>
      <c r="D252" s="3" t="s">
        <v>18</v>
      </c>
      <c r="E252" s="3">
        <v>647953.78</v>
      </c>
      <c r="F252" s="3">
        <v>118497.43</v>
      </c>
      <c r="G252" s="3">
        <v>38361.93</v>
      </c>
      <c r="H252" s="3">
        <v>6322</v>
      </c>
      <c r="I252" s="3">
        <v>0.27300000000000002</v>
      </c>
      <c r="J252" s="3">
        <v>15</v>
      </c>
      <c r="K252" s="3">
        <f t="shared" si="18"/>
        <v>1</v>
      </c>
      <c r="L252" s="3">
        <f t="shared" si="19"/>
        <v>0</v>
      </c>
      <c r="M252" s="3">
        <f t="shared" si="20"/>
        <v>0</v>
      </c>
      <c r="N252" s="3">
        <v>88.4</v>
      </c>
      <c r="O252" s="3">
        <v>0.83</v>
      </c>
      <c r="P252" s="3">
        <v>0</v>
      </c>
      <c r="Q252" s="3">
        <v>4</v>
      </c>
      <c r="R252" s="3">
        <f t="shared" si="21"/>
        <v>0</v>
      </c>
      <c r="S252" s="3">
        <f t="shared" si="22"/>
        <v>0</v>
      </c>
      <c r="T252" s="3">
        <f t="shared" si="23"/>
        <v>0</v>
      </c>
    </row>
    <row r="253" spans="1:20">
      <c r="A253" s="3" t="s">
        <v>84</v>
      </c>
      <c r="B253" s="4">
        <v>45748</v>
      </c>
      <c r="C253" s="3" t="s">
        <v>20</v>
      </c>
      <c r="D253" s="3" t="s">
        <v>18</v>
      </c>
      <c r="E253" s="3">
        <v>729440.45</v>
      </c>
      <c r="F253" s="3">
        <v>87614.29</v>
      </c>
      <c r="G253" s="3">
        <v>97480.94</v>
      </c>
      <c r="H253" s="3">
        <v>6840</v>
      </c>
      <c r="I253" s="3">
        <v>8.6999999999999994E-2</v>
      </c>
      <c r="J253" s="3">
        <v>14</v>
      </c>
      <c r="K253" s="3">
        <f t="shared" si="18"/>
        <v>1</v>
      </c>
      <c r="L253" s="3">
        <f t="shared" si="19"/>
        <v>0</v>
      </c>
      <c r="M253" s="3">
        <f t="shared" si="20"/>
        <v>0</v>
      </c>
      <c r="N253" s="3">
        <v>79.2</v>
      </c>
      <c r="O253" s="3">
        <v>1.1399999999999999</v>
      </c>
      <c r="P253" s="3">
        <v>0</v>
      </c>
      <c r="Q253" s="3">
        <v>4</v>
      </c>
      <c r="R253" s="3">
        <f t="shared" si="21"/>
        <v>0</v>
      </c>
      <c r="S253" s="3">
        <f t="shared" si="22"/>
        <v>0</v>
      </c>
      <c r="T253" s="3">
        <f t="shared" si="23"/>
        <v>0</v>
      </c>
    </row>
    <row r="254" spans="1:20">
      <c r="A254" s="3" t="s">
        <v>85</v>
      </c>
      <c r="B254" s="4">
        <v>45658</v>
      </c>
      <c r="C254" s="3" t="s">
        <v>24</v>
      </c>
      <c r="D254" s="3" t="s">
        <v>21</v>
      </c>
      <c r="E254" s="3">
        <v>764949</v>
      </c>
      <c r="F254" s="3">
        <v>148322.43</v>
      </c>
      <c r="G254" s="3">
        <v>81801.8</v>
      </c>
      <c r="H254" s="3">
        <v>6782</v>
      </c>
      <c r="I254" s="3">
        <v>0.05</v>
      </c>
      <c r="J254" s="3">
        <v>16</v>
      </c>
      <c r="K254" s="3">
        <f t="shared" si="18"/>
        <v>0</v>
      </c>
      <c r="L254" s="3">
        <f t="shared" si="19"/>
        <v>1</v>
      </c>
      <c r="M254" s="3">
        <f t="shared" si="20"/>
        <v>0</v>
      </c>
      <c r="N254" s="3">
        <v>99</v>
      </c>
      <c r="O254" s="3">
        <v>9.5399999999999991</v>
      </c>
      <c r="P254" s="3">
        <v>0</v>
      </c>
      <c r="Q254" s="3">
        <v>3.7</v>
      </c>
      <c r="R254" s="3">
        <f t="shared" si="21"/>
        <v>0</v>
      </c>
      <c r="S254" s="3">
        <f t="shared" si="22"/>
        <v>1</v>
      </c>
      <c r="T254" s="3">
        <f t="shared" si="23"/>
        <v>0</v>
      </c>
    </row>
    <row r="255" spans="1:20">
      <c r="A255" s="3" t="s">
        <v>85</v>
      </c>
      <c r="B255" s="4">
        <v>45689</v>
      </c>
      <c r="C255" s="3" t="s">
        <v>24</v>
      </c>
      <c r="D255" s="3" t="s">
        <v>21</v>
      </c>
      <c r="E255" s="3">
        <v>799046.94</v>
      </c>
      <c r="F255" s="3">
        <v>144553.64000000001</v>
      </c>
      <c r="G255" s="3">
        <v>63582.11</v>
      </c>
      <c r="H255" s="3">
        <v>6856</v>
      </c>
      <c r="I255" s="3">
        <v>7.3999999999999996E-2</v>
      </c>
      <c r="J255" s="3">
        <v>17</v>
      </c>
      <c r="K255" s="3">
        <f t="shared" si="18"/>
        <v>0</v>
      </c>
      <c r="L255" s="3">
        <f t="shared" si="19"/>
        <v>1</v>
      </c>
      <c r="M255" s="3">
        <f t="shared" si="20"/>
        <v>0</v>
      </c>
      <c r="N255" s="3">
        <v>89.5</v>
      </c>
      <c r="O255" s="3">
        <v>5.48</v>
      </c>
      <c r="P255" s="3">
        <v>0</v>
      </c>
      <c r="Q255" s="3">
        <v>3.2</v>
      </c>
      <c r="R255" s="3">
        <f t="shared" si="21"/>
        <v>0</v>
      </c>
      <c r="S255" s="3">
        <f t="shared" si="22"/>
        <v>1</v>
      </c>
      <c r="T255" s="3">
        <f t="shared" si="23"/>
        <v>0</v>
      </c>
    </row>
    <row r="256" spans="1:20">
      <c r="A256" s="3" t="s">
        <v>85</v>
      </c>
      <c r="B256" s="4">
        <v>45717</v>
      </c>
      <c r="C256" s="3" t="s">
        <v>24</v>
      </c>
      <c r="D256" s="3" t="s">
        <v>21</v>
      </c>
      <c r="E256" s="3">
        <v>720079.54</v>
      </c>
      <c r="F256" s="3">
        <v>119499.47</v>
      </c>
      <c r="G256" s="3">
        <v>75412.740000000005</v>
      </c>
      <c r="H256" s="3">
        <v>5641</v>
      </c>
      <c r="I256" s="3">
        <v>5.8999999999999997E-2</v>
      </c>
      <c r="J256" s="3">
        <v>13</v>
      </c>
      <c r="K256" s="3">
        <f t="shared" si="18"/>
        <v>0</v>
      </c>
      <c r="L256" s="3">
        <f t="shared" si="19"/>
        <v>1</v>
      </c>
      <c r="M256" s="3">
        <f t="shared" si="20"/>
        <v>0</v>
      </c>
      <c r="N256" s="3">
        <v>87.9</v>
      </c>
      <c r="O256" s="3">
        <v>0.84</v>
      </c>
      <c r="P256" s="3">
        <v>0</v>
      </c>
      <c r="Q256" s="3">
        <v>3.6</v>
      </c>
      <c r="R256" s="3">
        <f t="shared" si="21"/>
        <v>0</v>
      </c>
      <c r="S256" s="3">
        <f t="shared" si="22"/>
        <v>1</v>
      </c>
      <c r="T256" s="3">
        <f t="shared" si="23"/>
        <v>0</v>
      </c>
    </row>
    <row r="257" spans="1:20">
      <c r="A257" s="3" t="s">
        <v>85</v>
      </c>
      <c r="B257" s="4">
        <v>45748</v>
      </c>
      <c r="C257" s="3" t="s">
        <v>24</v>
      </c>
      <c r="D257" s="3" t="s">
        <v>21</v>
      </c>
      <c r="E257" s="3">
        <v>612390.14</v>
      </c>
      <c r="F257" s="3">
        <v>108985.74</v>
      </c>
      <c r="G257" s="3">
        <v>36290.080000000002</v>
      </c>
      <c r="H257" s="3">
        <v>5787</v>
      </c>
      <c r="I257" s="3">
        <v>0</v>
      </c>
      <c r="J257" s="3">
        <v>17</v>
      </c>
      <c r="K257" s="3">
        <f t="shared" si="18"/>
        <v>0</v>
      </c>
      <c r="L257" s="3">
        <f t="shared" si="19"/>
        <v>1</v>
      </c>
      <c r="M257" s="3">
        <f t="shared" si="20"/>
        <v>0</v>
      </c>
      <c r="N257" s="3">
        <v>88.3</v>
      </c>
      <c r="O257" s="3">
        <v>4.1900000000000004</v>
      </c>
      <c r="P257" s="3">
        <v>0</v>
      </c>
      <c r="Q257" s="3">
        <v>4.0999999999999996</v>
      </c>
      <c r="R257" s="3">
        <f t="shared" si="21"/>
        <v>0</v>
      </c>
      <c r="S257" s="3">
        <f t="shared" si="22"/>
        <v>1</v>
      </c>
      <c r="T257" s="3">
        <f t="shared" si="23"/>
        <v>0</v>
      </c>
    </row>
    <row r="258" spans="1:20">
      <c r="A258" s="3" t="s">
        <v>86</v>
      </c>
      <c r="B258" s="4">
        <v>45658</v>
      </c>
      <c r="C258" s="3" t="s">
        <v>24</v>
      </c>
      <c r="D258" s="3" t="s">
        <v>28</v>
      </c>
      <c r="E258" s="3">
        <v>840108.12</v>
      </c>
      <c r="F258" s="3">
        <v>126587.01</v>
      </c>
      <c r="G258" s="3">
        <v>65272.58</v>
      </c>
      <c r="H258" s="3">
        <v>8165</v>
      </c>
      <c r="I258" s="3">
        <v>5.0999999999999997E-2</v>
      </c>
      <c r="J258" s="3">
        <v>19</v>
      </c>
      <c r="K258" s="3">
        <f t="shared" si="18"/>
        <v>0</v>
      </c>
      <c r="L258" s="3">
        <f t="shared" si="19"/>
        <v>0</v>
      </c>
      <c r="M258" s="3">
        <f t="shared" si="20"/>
        <v>1</v>
      </c>
      <c r="N258" s="3">
        <v>87.8</v>
      </c>
      <c r="O258" s="3">
        <v>1.26</v>
      </c>
      <c r="P258" s="3">
        <v>1</v>
      </c>
      <c r="Q258" s="3">
        <v>4.3</v>
      </c>
      <c r="R258" s="3">
        <f t="shared" si="21"/>
        <v>0</v>
      </c>
      <c r="S258" s="3">
        <f t="shared" si="22"/>
        <v>1</v>
      </c>
      <c r="T258" s="3">
        <f t="shared" si="23"/>
        <v>0</v>
      </c>
    </row>
    <row r="259" spans="1:20">
      <c r="A259" s="3" t="s">
        <v>86</v>
      </c>
      <c r="B259" s="4">
        <v>45689</v>
      </c>
      <c r="C259" s="3" t="s">
        <v>24</v>
      </c>
      <c r="D259" s="3" t="s">
        <v>28</v>
      </c>
      <c r="E259" s="3">
        <v>697888.09</v>
      </c>
      <c r="F259" s="3">
        <v>116249.87</v>
      </c>
      <c r="G259" s="3">
        <v>28670.43</v>
      </c>
      <c r="H259" s="3">
        <v>7574</v>
      </c>
      <c r="I259" s="3">
        <v>0.114</v>
      </c>
      <c r="J259" s="3">
        <v>19</v>
      </c>
      <c r="K259" s="3">
        <f t="shared" ref="K259:K321" si="24">IF($D259="High Street",1,0)</f>
        <v>0</v>
      </c>
      <c r="L259" s="3">
        <f t="shared" ref="L259:L321" si="25">IF($D259="Airport",1,0)</f>
        <v>0</v>
      </c>
      <c r="M259" s="3">
        <f t="shared" ref="M259:M321" si="26">IF($D259="Mall",1,0)</f>
        <v>1</v>
      </c>
      <c r="N259" s="3">
        <v>82.7</v>
      </c>
      <c r="O259" s="3">
        <v>2.74</v>
      </c>
      <c r="P259" s="3">
        <v>0</v>
      </c>
      <c r="Q259" s="3">
        <v>4.5999999999999996</v>
      </c>
      <c r="R259" s="3">
        <f t="shared" ref="R259:R321" si="27">IF($C259="East",1,0)</f>
        <v>0</v>
      </c>
      <c r="S259" s="3">
        <f t="shared" ref="S259:S321" si="28">IF($C259="South",1,0)</f>
        <v>1</v>
      </c>
      <c r="T259" s="3">
        <f t="shared" ref="T259:T321" si="29">IF($C259="West",1,0)</f>
        <v>0</v>
      </c>
    </row>
    <row r="260" spans="1:20">
      <c r="A260" s="3" t="s">
        <v>86</v>
      </c>
      <c r="B260" s="4">
        <v>45717</v>
      </c>
      <c r="C260" s="3" t="s">
        <v>24</v>
      </c>
      <c r="D260" s="3" t="s">
        <v>28</v>
      </c>
      <c r="E260" s="3">
        <v>746115.59</v>
      </c>
      <c r="F260" s="3">
        <v>94662.96</v>
      </c>
      <c r="G260" s="3">
        <v>44189.34</v>
      </c>
      <c r="H260" s="3">
        <v>8634</v>
      </c>
      <c r="I260" s="3">
        <v>0.14299999999999999</v>
      </c>
      <c r="J260" s="3">
        <v>19</v>
      </c>
      <c r="K260" s="3">
        <f t="shared" si="24"/>
        <v>0</v>
      </c>
      <c r="L260" s="3">
        <f t="shared" si="25"/>
        <v>0</v>
      </c>
      <c r="M260" s="3">
        <f t="shared" si="26"/>
        <v>1</v>
      </c>
      <c r="N260" s="3">
        <v>87.5</v>
      </c>
      <c r="O260" s="3">
        <v>3.69</v>
      </c>
      <c r="P260" s="3">
        <v>0</v>
      </c>
      <c r="Q260" s="3">
        <v>4.4000000000000004</v>
      </c>
      <c r="R260" s="3">
        <f t="shared" si="27"/>
        <v>0</v>
      </c>
      <c r="S260" s="3">
        <f t="shared" si="28"/>
        <v>1</v>
      </c>
      <c r="T260" s="3">
        <f t="shared" si="29"/>
        <v>0</v>
      </c>
    </row>
    <row r="261" spans="1:20">
      <c r="A261" s="3" t="s">
        <v>86</v>
      </c>
      <c r="B261" s="4">
        <v>45748</v>
      </c>
      <c r="C261" s="3" t="s">
        <v>24</v>
      </c>
      <c r="D261" s="3" t="s">
        <v>28</v>
      </c>
      <c r="E261" s="3">
        <v>776110.32</v>
      </c>
      <c r="F261" s="3">
        <v>139676.21</v>
      </c>
      <c r="G261" s="3">
        <v>38397.82</v>
      </c>
      <c r="H261" s="3">
        <v>7836</v>
      </c>
      <c r="I261" s="3">
        <v>7.0000000000000001E-3</v>
      </c>
      <c r="J261" s="3">
        <v>21</v>
      </c>
      <c r="K261" s="3">
        <f t="shared" si="24"/>
        <v>0</v>
      </c>
      <c r="L261" s="3">
        <f t="shared" si="25"/>
        <v>0</v>
      </c>
      <c r="M261" s="3">
        <f t="shared" si="26"/>
        <v>1</v>
      </c>
      <c r="N261" s="3">
        <v>92.2</v>
      </c>
      <c r="O261" s="3">
        <v>1.82</v>
      </c>
      <c r="P261" s="3">
        <v>0</v>
      </c>
      <c r="Q261" s="3">
        <v>3.6</v>
      </c>
      <c r="R261" s="3">
        <f t="shared" si="27"/>
        <v>0</v>
      </c>
      <c r="S261" s="3">
        <f t="shared" si="28"/>
        <v>1</v>
      </c>
      <c r="T261" s="3">
        <f t="shared" si="29"/>
        <v>0</v>
      </c>
    </row>
    <row r="262" spans="1:20">
      <c r="A262" s="3" t="s">
        <v>87</v>
      </c>
      <c r="B262" s="4">
        <v>45658</v>
      </c>
      <c r="C262" s="3" t="s">
        <v>27</v>
      </c>
      <c r="D262" s="3" t="s">
        <v>18</v>
      </c>
      <c r="E262" s="3">
        <v>528852.62</v>
      </c>
      <c r="F262" s="3">
        <v>68426.210000000006</v>
      </c>
      <c r="G262" s="3">
        <v>14519.37</v>
      </c>
      <c r="H262" s="3">
        <v>3047</v>
      </c>
      <c r="I262" s="3">
        <v>0.13500000000000001</v>
      </c>
      <c r="J262" s="3">
        <v>10</v>
      </c>
      <c r="K262" s="3">
        <f t="shared" si="24"/>
        <v>1</v>
      </c>
      <c r="L262" s="3">
        <f t="shared" si="25"/>
        <v>0</v>
      </c>
      <c r="M262" s="3">
        <f t="shared" si="26"/>
        <v>0</v>
      </c>
      <c r="N262" s="3">
        <v>90.3</v>
      </c>
      <c r="O262" s="3">
        <v>6.62</v>
      </c>
      <c r="P262" s="3">
        <v>0</v>
      </c>
      <c r="Q262" s="3">
        <v>4.2</v>
      </c>
      <c r="R262" s="3">
        <f t="shared" si="27"/>
        <v>0</v>
      </c>
      <c r="S262" s="3">
        <f t="shared" si="28"/>
        <v>0</v>
      </c>
      <c r="T262" s="3">
        <f t="shared" si="29"/>
        <v>1</v>
      </c>
    </row>
    <row r="263" spans="1:20">
      <c r="A263" s="3" t="s">
        <v>87</v>
      </c>
      <c r="B263" s="4">
        <v>45689</v>
      </c>
      <c r="C263" s="3" t="s">
        <v>27</v>
      </c>
      <c r="D263" s="3" t="s">
        <v>18</v>
      </c>
      <c r="E263" s="3">
        <v>605751.32999999996</v>
      </c>
      <c r="F263" s="3">
        <v>60685.53</v>
      </c>
      <c r="G263" s="3">
        <v>43288.2</v>
      </c>
      <c r="H263" s="3">
        <v>4783</v>
      </c>
      <c r="I263" s="3">
        <v>0.16900000000000001</v>
      </c>
      <c r="J263" s="3">
        <v>13</v>
      </c>
      <c r="K263" s="3">
        <f t="shared" si="24"/>
        <v>1</v>
      </c>
      <c r="L263" s="3">
        <f t="shared" si="25"/>
        <v>0</v>
      </c>
      <c r="M263" s="3">
        <f t="shared" si="26"/>
        <v>0</v>
      </c>
      <c r="N263" s="3">
        <v>87.3</v>
      </c>
      <c r="O263" s="5">
        <v>4.5599999999999996</v>
      </c>
      <c r="P263" s="3">
        <v>0</v>
      </c>
      <c r="Q263" s="3">
        <v>4.2</v>
      </c>
      <c r="R263" s="3">
        <f t="shared" si="27"/>
        <v>0</v>
      </c>
      <c r="S263" s="3">
        <f t="shared" si="28"/>
        <v>0</v>
      </c>
      <c r="T263" s="3">
        <f t="shared" si="29"/>
        <v>1</v>
      </c>
    </row>
    <row r="264" spans="1:20">
      <c r="A264" s="3" t="s">
        <v>87</v>
      </c>
      <c r="B264" s="4">
        <v>45717</v>
      </c>
      <c r="C264" s="3" t="s">
        <v>27</v>
      </c>
      <c r="D264" s="3" t="s">
        <v>18</v>
      </c>
      <c r="E264" s="3">
        <v>677640.65</v>
      </c>
      <c r="F264" s="3">
        <v>111610.89</v>
      </c>
      <c r="G264" s="3">
        <v>51450.55</v>
      </c>
      <c r="H264" s="3">
        <v>4902</v>
      </c>
      <c r="I264" s="3">
        <v>8.5999999999999993E-2</v>
      </c>
      <c r="J264" s="3">
        <v>11</v>
      </c>
      <c r="K264" s="3">
        <f t="shared" si="24"/>
        <v>1</v>
      </c>
      <c r="L264" s="3">
        <f t="shared" si="25"/>
        <v>0</v>
      </c>
      <c r="M264" s="3">
        <f t="shared" si="26"/>
        <v>0</v>
      </c>
      <c r="N264" s="3">
        <v>83.7</v>
      </c>
      <c r="O264" s="3">
        <v>6.92</v>
      </c>
      <c r="P264" s="3">
        <v>1</v>
      </c>
      <c r="Q264" s="3">
        <v>4.2</v>
      </c>
      <c r="R264" s="3">
        <f t="shared" si="27"/>
        <v>0</v>
      </c>
      <c r="S264" s="3">
        <f t="shared" si="28"/>
        <v>0</v>
      </c>
      <c r="T264" s="3">
        <f t="shared" si="29"/>
        <v>1</v>
      </c>
    </row>
    <row r="265" spans="1:20">
      <c r="A265" s="3" t="s">
        <v>87</v>
      </c>
      <c r="B265" s="4">
        <v>45748</v>
      </c>
      <c r="C265" s="3" t="s">
        <v>27</v>
      </c>
      <c r="D265" s="3" t="s">
        <v>18</v>
      </c>
      <c r="E265" s="3">
        <v>636613.23</v>
      </c>
      <c r="F265" s="3">
        <v>78908.350000000006</v>
      </c>
      <c r="G265" s="3">
        <v>58688.26</v>
      </c>
      <c r="H265" s="3">
        <v>4022</v>
      </c>
      <c r="I265" s="3">
        <v>0.217</v>
      </c>
      <c r="J265" s="3">
        <v>12</v>
      </c>
      <c r="K265" s="3">
        <f t="shared" si="24"/>
        <v>1</v>
      </c>
      <c r="L265" s="3">
        <f t="shared" si="25"/>
        <v>0</v>
      </c>
      <c r="M265" s="3">
        <f t="shared" si="26"/>
        <v>0</v>
      </c>
      <c r="N265" s="3">
        <v>93.8</v>
      </c>
      <c r="O265" s="3">
        <v>11.78</v>
      </c>
      <c r="P265" s="3">
        <v>0</v>
      </c>
      <c r="Q265" s="3">
        <v>3.7</v>
      </c>
      <c r="R265" s="3">
        <f t="shared" si="27"/>
        <v>0</v>
      </c>
      <c r="S265" s="3">
        <f t="shared" si="28"/>
        <v>0</v>
      </c>
      <c r="T265" s="3">
        <f t="shared" si="29"/>
        <v>1</v>
      </c>
    </row>
    <row r="266" spans="1:20">
      <c r="A266" s="3" t="s">
        <v>88</v>
      </c>
      <c r="B266" s="4">
        <v>45658</v>
      </c>
      <c r="C266" s="3" t="s">
        <v>15</v>
      </c>
      <c r="D266" s="3" t="s">
        <v>18</v>
      </c>
      <c r="E266" s="3">
        <v>708985.19</v>
      </c>
      <c r="F266" s="3">
        <v>125368.16</v>
      </c>
      <c r="G266" s="3">
        <v>58981.91</v>
      </c>
      <c r="H266" s="3">
        <v>7324</v>
      </c>
      <c r="I266" s="3">
        <v>9.4E-2</v>
      </c>
      <c r="J266" s="3">
        <v>15</v>
      </c>
      <c r="K266" s="3">
        <f t="shared" si="24"/>
        <v>1</v>
      </c>
      <c r="L266" s="3">
        <f t="shared" si="25"/>
        <v>0</v>
      </c>
      <c r="M266" s="3">
        <f t="shared" si="26"/>
        <v>0</v>
      </c>
      <c r="N266" s="3">
        <v>95.8</v>
      </c>
      <c r="O266" s="3">
        <v>0.5</v>
      </c>
      <c r="P266" s="3">
        <v>0</v>
      </c>
      <c r="Q266" s="3">
        <v>3.5</v>
      </c>
      <c r="R266" s="3">
        <f t="shared" si="27"/>
        <v>1</v>
      </c>
      <c r="S266" s="3">
        <f t="shared" si="28"/>
        <v>0</v>
      </c>
      <c r="T266" s="3">
        <f t="shared" si="29"/>
        <v>0</v>
      </c>
    </row>
    <row r="267" spans="1:20">
      <c r="A267" s="3" t="s">
        <v>88</v>
      </c>
      <c r="B267" s="4">
        <v>45689</v>
      </c>
      <c r="C267" s="3" t="s">
        <v>15</v>
      </c>
      <c r="D267" s="3" t="s">
        <v>18</v>
      </c>
      <c r="E267" s="3">
        <v>767792.94</v>
      </c>
      <c r="F267" s="3">
        <v>96235.77</v>
      </c>
      <c r="G267" s="3">
        <v>73454.539999999994</v>
      </c>
      <c r="H267" s="3">
        <v>8129</v>
      </c>
      <c r="I267" s="3">
        <v>0.21099999999999999</v>
      </c>
      <c r="J267" s="3">
        <v>20</v>
      </c>
      <c r="K267" s="3">
        <f t="shared" si="24"/>
        <v>1</v>
      </c>
      <c r="L267" s="3">
        <f t="shared" si="25"/>
        <v>0</v>
      </c>
      <c r="M267" s="3">
        <f t="shared" si="26"/>
        <v>0</v>
      </c>
      <c r="N267" s="3">
        <v>85.2</v>
      </c>
      <c r="O267" s="3">
        <v>0.88</v>
      </c>
      <c r="P267" s="3">
        <v>0</v>
      </c>
      <c r="Q267" s="3">
        <v>3.7</v>
      </c>
      <c r="R267" s="3">
        <f t="shared" si="27"/>
        <v>1</v>
      </c>
      <c r="S267" s="3">
        <f t="shared" si="28"/>
        <v>0</v>
      </c>
      <c r="T267" s="3">
        <f t="shared" si="29"/>
        <v>0</v>
      </c>
    </row>
    <row r="268" spans="1:20">
      <c r="A268" s="3" t="s">
        <v>88</v>
      </c>
      <c r="B268" s="4">
        <v>45717</v>
      </c>
      <c r="C268" s="3" t="s">
        <v>15</v>
      </c>
      <c r="D268" s="3" t="s">
        <v>18</v>
      </c>
      <c r="E268" s="3">
        <v>745580.51</v>
      </c>
      <c r="F268" s="3">
        <v>116273.68</v>
      </c>
      <c r="G268" s="3">
        <v>56602.39</v>
      </c>
      <c r="H268" s="3">
        <v>7969</v>
      </c>
      <c r="I268" s="3">
        <v>0.17</v>
      </c>
      <c r="J268" s="3">
        <v>21</v>
      </c>
      <c r="K268" s="3">
        <f t="shared" si="24"/>
        <v>1</v>
      </c>
      <c r="L268" s="3">
        <f t="shared" si="25"/>
        <v>0</v>
      </c>
      <c r="M268" s="3">
        <f t="shared" si="26"/>
        <v>0</v>
      </c>
      <c r="N268" s="3">
        <v>88.3</v>
      </c>
      <c r="O268" s="3">
        <v>2.25</v>
      </c>
      <c r="P268" s="3">
        <v>0</v>
      </c>
      <c r="Q268" s="3">
        <v>3.7</v>
      </c>
      <c r="R268" s="3">
        <f t="shared" si="27"/>
        <v>1</v>
      </c>
      <c r="S268" s="3">
        <f t="shared" si="28"/>
        <v>0</v>
      </c>
      <c r="T268" s="3">
        <f t="shared" si="29"/>
        <v>0</v>
      </c>
    </row>
    <row r="269" spans="1:20">
      <c r="A269" s="3" t="s">
        <v>88</v>
      </c>
      <c r="B269" s="4">
        <v>45748</v>
      </c>
      <c r="C269" s="3" t="s">
        <v>15</v>
      </c>
      <c r="D269" s="3" t="s">
        <v>18</v>
      </c>
      <c r="E269" s="3">
        <v>762328.31</v>
      </c>
      <c r="F269" s="3">
        <v>159158.19</v>
      </c>
      <c r="G269" s="3">
        <v>67722.289999999994</v>
      </c>
      <c r="H269" s="3">
        <v>7240</v>
      </c>
      <c r="I269" s="3">
        <v>2.5999999999999999E-2</v>
      </c>
      <c r="J269" s="3">
        <v>15</v>
      </c>
      <c r="K269" s="3">
        <f t="shared" si="24"/>
        <v>1</v>
      </c>
      <c r="L269" s="3">
        <f t="shared" si="25"/>
        <v>0</v>
      </c>
      <c r="M269" s="3">
        <f t="shared" si="26"/>
        <v>0</v>
      </c>
      <c r="N269" s="3">
        <v>92.9</v>
      </c>
      <c r="O269" s="3">
        <v>0.28999999999999998</v>
      </c>
      <c r="P269" s="3">
        <v>0</v>
      </c>
      <c r="Q269" s="3">
        <v>3.5</v>
      </c>
      <c r="R269" s="3">
        <f t="shared" si="27"/>
        <v>1</v>
      </c>
      <c r="S269" s="3">
        <f t="shared" si="28"/>
        <v>0</v>
      </c>
      <c r="T269" s="3">
        <f t="shared" si="29"/>
        <v>0</v>
      </c>
    </row>
    <row r="270" spans="1:20">
      <c r="A270" s="3" t="s">
        <v>89</v>
      </c>
      <c r="B270" s="4">
        <v>45658</v>
      </c>
      <c r="C270" s="3" t="s">
        <v>15</v>
      </c>
      <c r="D270" s="3" t="s">
        <v>28</v>
      </c>
      <c r="E270" s="3">
        <v>660633.99</v>
      </c>
      <c r="F270" s="3">
        <v>118768.66</v>
      </c>
      <c r="G270" s="3">
        <v>48752.92</v>
      </c>
      <c r="H270" s="3">
        <v>8052</v>
      </c>
      <c r="I270" s="3">
        <v>0.106</v>
      </c>
      <c r="J270" s="3">
        <v>16</v>
      </c>
      <c r="K270" s="3">
        <f t="shared" si="24"/>
        <v>0</v>
      </c>
      <c r="L270" s="3">
        <f t="shared" si="25"/>
        <v>0</v>
      </c>
      <c r="M270" s="3">
        <f t="shared" si="26"/>
        <v>1</v>
      </c>
      <c r="N270" s="3">
        <v>94.9</v>
      </c>
      <c r="O270" s="3">
        <v>0.65</v>
      </c>
      <c r="P270" s="3">
        <v>0</v>
      </c>
      <c r="Q270" s="3">
        <v>3.6</v>
      </c>
      <c r="R270" s="3">
        <f t="shared" si="27"/>
        <v>1</v>
      </c>
      <c r="S270" s="3">
        <f t="shared" si="28"/>
        <v>0</v>
      </c>
      <c r="T270" s="3">
        <f t="shared" si="29"/>
        <v>0</v>
      </c>
    </row>
    <row r="271" spans="1:20">
      <c r="A271" s="3" t="s">
        <v>89</v>
      </c>
      <c r="B271" s="4">
        <v>45689</v>
      </c>
      <c r="C271" s="3" t="s">
        <v>15</v>
      </c>
      <c r="D271" s="3" t="s">
        <v>28</v>
      </c>
      <c r="E271" s="3">
        <v>739374.56</v>
      </c>
      <c r="F271" s="3">
        <v>121032.29</v>
      </c>
      <c r="G271" s="3">
        <v>23914.97</v>
      </c>
      <c r="H271" s="3">
        <v>8018</v>
      </c>
      <c r="I271" s="3">
        <v>0.13900000000000001</v>
      </c>
      <c r="J271" s="3">
        <v>20</v>
      </c>
      <c r="K271" s="3">
        <f t="shared" si="24"/>
        <v>0</v>
      </c>
      <c r="L271" s="3">
        <f t="shared" si="25"/>
        <v>0</v>
      </c>
      <c r="M271" s="3">
        <f t="shared" si="26"/>
        <v>1</v>
      </c>
      <c r="N271" s="3">
        <v>89</v>
      </c>
      <c r="O271" s="3">
        <v>0.2</v>
      </c>
      <c r="P271" s="3">
        <v>0</v>
      </c>
      <c r="Q271" s="3">
        <v>3.5</v>
      </c>
      <c r="R271" s="3">
        <f t="shared" si="27"/>
        <v>1</v>
      </c>
      <c r="S271" s="3">
        <f t="shared" si="28"/>
        <v>0</v>
      </c>
      <c r="T271" s="3">
        <f t="shared" si="29"/>
        <v>0</v>
      </c>
    </row>
    <row r="272" spans="1:20">
      <c r="A272" s="3" t="s">
        <v>89</v>
      </c>
      <c r="B272" s="4">
        <v>45717</v>
      </c>
      <c r="C272" s="3" t="s">
        <v>15</v>
      </c>
      <c r="D272" s="3" t="s">
        <v>28</v>
      </c>
      <c r="E272" s="3">
        <v>799756.46</v>
      </c>
      <c r="F272" s="3">
        <v>105052.93</v>
      </c>
      <c r="G272" s="3">
        <v>61995.3</v>
      </c>
      <c r="H272" s="3">
        <v>10192</v>
      </c>
      <c r="I272" s="3">
        <v>0.19800000000000001</v>
      </c>
      <c r="J272" s="3">
        <v>21</v>
      </c>
      <c r="K272" s="3">
        <f t="shared" si="24"/>
        <v>0</v>
      </c>
      <c r="L272" s="3">
        <f t="shared" si="25"/>
        <v>0</v>
      </c>
      <c r="M272" s="3">
        <f t="shared" si="26"/>
        <v>1</v>
      </c>
      <c r="N272" s="3">
        <v>87.6</v>
      </c>
      <c r="O272" s="3">
        <v>3.63</v>
      </c>
      <c r="P272" s="3">
        <v>1</v>
      </c>
      <c r="Q272" s="3">
        <v>3.8</v>
      </c>
      <c r="R272" s="3">
        <f t="shared" si="27"/>
        <v>1</v>
      </c>
      <c r="S272" s="3">
        <f t="shared" si="28"/>
        <v>0</v>
      </c>
      <c r="T272" s="3">
        <f t="shared" si="29"/>
        <v>0</v>
      </c>
    </row>
    <row r="273" spans="1:20">
      <c r="A273" s="3" t="s">
        <v>89</v>
      </c>
      <c r="B273" s="4">
        <v>45748</v>
      </c>
      <c r="C273" s="3" t="s">
        <v>15</v>
      </c>
      <c r="D273" s="3" t="s">
        <v>28</v>
      </c>
      <c r="E273" s="3">
        <v>593343</v>
      </c>
      <c r="F273" s="3">
        <v>82832.240000000005</v>
      </c>
      <c r="G273" s="3">
        <v>29344.93</v>
      </c>
      <c r="H273" s="3">
        <v>7446</v>
      </c>
      <c r="I273" s="3">
        <v>0.111</v>
      </c>
      <c r="J273" s="3">
        <v>15</v>
      </c>
      <c r="K273" s="3">
        <f t="shared" si="24"/>
        <v>0</v>
      </c>
      <c r="L273" s="3">
        <f t="shared" si="25"/>
        <v>0</v>
      </c>
      <c r="M273" s="3">
        <f t="shared" si="26"/>
        <v>1</v>
      </c>
      <c r="N273" s="3">
        <v>86.2</v>
      </c>
      <c r="O273" s="3">
        <v>0.2</v>
      </c>
      <c r="P273" s="3">
        <v>0</v>
      </c>
      <c r="Q273" s="3">
        <v>3.2</v>
      </c>
      <c r="R273" s="3">
        <f t="shared" si="27"/>
        <v>1</v>
      </c>
      <c r="S273" s="3">
        <f t="shared" si="28"/>
        <v>0</v>
      </c>
      <c r="T273" s="3">
        <f t="shared" si="29"/>
        <v>0</v>
      </c>
    </row>
    <row r="274" spans="1:20">
      <c r="A274" s="3" t="s">
        <v>90</v>
      </c>
      <c r="B274" s="4">
        <v>45658</v>
      </c>
      <c r="C274" s="3" t="s">
        <v>27</v>
      </c>
      <c r="D274" s="3" t="s">
        <v>18</v>
      </c>
      <c r="E274" s="3">
        <v>645039.97</v>
      </c>
      <c r="F274" s="3">
        <v>83093.33</v>
      </c>
      <c r="G274" s="3">
        <v>50532.17</v>
      </c>
      <c r="H274" s="3">
        <v>5689</v>
      </c>
      <c r="I274" s="3">
        <v>5.1999999999999998E-2</v>
      </c>
      <c r="J274" s="3">
        <v>17</v>
      </c>
      <c r="K274" s="3">
        <f t="shared" si="24"/>
        <v>1</v>
      </c>
      <c r="L274" s="3">
        <f t="shared" si="25"/>
        <v>0</v>
      </c>
      <c r="M274" s="3">
        <f t="shared" si="26"/>
        <v>0</v>
      </c>
      <c r="N274" s="3">
        <v>85.6</v>
      </c>
      <c r="O274" s="3">
        <v>6.23</v>
      </c>
      <c r="P274" s="3">
        <v>0</v>
      </c>
      <c r="Q274" s="3">
        <v>3.3</v>
      </c>
      <c r="R274" s="3">
        <f t="shared" si="27"/>
        <v>0</v>
      </c>
      <c r="S274" s="3">
        <f t="shared" si="28"/>
        <v>0</v>
      </c>
      <c r="T274" s="3">
        <f t="shared" si="29"/>
        <v>1</v>
      </c>
    </row>
    <row r="275" spans="1:20">
      <c r="A275" s="3" t="s">
        <v>90</v>
      </c>
      <c r="B275" s="4">
        <v>45689</v>
      </c>
      <c r="C275" s="3" t="s">
        <v>27</v>
      </c>
      <c r="D275" s="3" t="s">
        <v>18</v>
      </c>
      <c r="E275" s="3">
        <v>561597.32999999996</v>
      </c>
      <c r="F275" s="3">
        <v>75072.75</v>
      </c>
      <c r="G275" s="3">
        <v>17562.57</v>
      </c>
      <c r="H275" s="3">
        <v>3326</v>
      </c>
      <c r="I275" s="3">
        <v>0.153</v>
      </c>
      <c r="J275" s="3">
        <v>14</v>
      </c>
      <c r="K275" s="3">
        <f t="shared" si="24"/>
        <v>1</v>
      </c>
      <c r="L275" s="3">
        <f t="shared" si="25"/>
        <v>0</v>
      </c>
      <c r="M275" s="3">
        <f t="shared" si="26"/>
        <v>0</v>
      </c>
      <c r="N275" s="3">
        <v>88.1</v>
      </c>
      <c r="O275" s="3">
        <v>1.04</v>
      </c>
      <c r="P275" s="3">
        <v>0</v>
      </c>
      <c r="Q275" s="3">
        <v>3.1</v>
      </c>
      <c r="R275" s="3">
        <f t="shared" si="27"/>
        <v>0</v>
      </c>
      <c r="S275" s="3">
        <f t="shared" si="28"/>
        <v>0</v>
      </c>
      <c r="T275" s="3">
        <f t="shared" si="29"/>
        <v>1</v>
      </c>
    </row>
    <row r="276" spans="1:20">
      <c r="A276" s="3" t="s">
        <v>90</v>
      </c>
      <c r="B276" s="4">
        <v>45717</v>
      </c>
      <c r="C276" s="3" t="s">
        <v>27</v>
      </c>
      <c r="D276" s="3" t="s">
        <v>18</v>
      </c>
      <c r="E276" s="3">
        <v>635837.74</v>
      </c>
      <c r="F276" s="3">
        <v>114740.64</v>
      </c>
      <c r="G276" s="3">
        <v>47648.71</v>
      </c>
      <c r="H276" s="3">
        <v>5767</v>
      </c>
      <c r="I276" s="3">
        <v>0.14099999999999999</v>
      </c>
      <c r="J276" s="3">
        <v>17</v>
      </c>
      <c r="K276" s="3">
        <f t="shared" si="24"/>
        <v>1</v>
      </c>
      <c r="L276" s="3">
        <f t="shared" si="25"/>
        <v>0</v>
      </c>
      <c r="M276" s="3">
        <f t="shared" si="26"/>
        <v>0</v>
      </c>
      <c r="N276" s="3">
        <v>89.8</v>
      </c>
      <c r="O276" s="3">
        <v>1.76</v>
      </c>
      <c r="P276" s="3">
        <v>0</v>
      </c>
      <c r="Q276" s="3">
        <v>3.1</v>
      </c>
      <c r="R276" s="3">
        <f t="shared" si="27"/>
        <v>0</v>
      </c>
      <c r="S276" s="3">
        <f t="shared" si="28"/>
        <v>0</v>
      </c>
      <c r="T276" s="3">
        <f t="shared" si="29"/>
        <v>1</v>
      </c>
    </row>
    <row r="277" spans="1:20">
      <c r="A277" s="3" t="s">
        <v>90</v>
      </c>
      <c r="B277" s="4">
        <v>45748</v>
      </c>
      <c r="C277" s="3" t="s">
        <v>27</v>
      </c>
      <c r="D277" s="3" t="s">
        <v>18</v>
      </c>
      <c r="E277" s="3">
        <v>686737.87</v>
      </c>
      <c r="F277" s="3">
        <v>83839.67</v>
      </c>
      <c r="G277" s="3">
        <v>38297.58</v>
      </c>
      <c r="H277" s="3">
        <v>5893</v>
      </c>
      <c r="I277" s="3">
        <v>0.247</v>
      </c>
      <c r="J277" s="3">
        <v>18</v>
      </c>
      <c r="K277" s="3">
        <f t="shared" si="24"/>
        <v>1</v>
      </c>
      <c r="L277" s="3">
        <f t="shared" si="25"/>
        <v>0</v>
      </c>
      <c r="M277" s="3">
        <f t="shared" si="26"/>
        <v>0</v>
      </c>
      <c r="N277" s="3">
        <v>77.599999999999994</v>
      </c>
      <c r="O277" s="3">
        <v>2.86</v>
      </c>
      <c r="P277" s="3">
        <v>0</v>
      </c>
      <c r="Q277" s="3">
        <v>3</v>
      </c>
      <c r="R277" s="3">
        <f t="shared" si="27"/>
        <v>0</v>
      </c>
      <c r="S277" s="3">
        <f t="shared" si="28"/>
        <v>0</v>
      </c>
      <c r="T277" s="3">
        <f t="shared" si="29"/>
        <v>1</v>
      </c>
    </row>
    <row r="278" spans="1:20">
      <c r="A278" s="3" t="s">
        <v>91</v>
      </c>
      <c r="B278" s="4">
        <v>45658</v>
      </c>
      <c r="C278" s="3" t="s">
        <v>24</v>
      </c>
      <c r="D278" s="3" t="s">
        <v>16</v>
      </c>
      <c r="E278" s="3">
        <v>673076.34</v>
      </c>
      <c r="F278" s="3">
        <v>93899.76</v>
      </c>
      <c r="G278" s="3">
        <v>61784.11</v>
      </c>
      <c r="H278" s="3">
        <v>8564</v>
      </c>
      <c r="I278" s="3">
        <v>0.13</v>
      </c>
      <c r="J278" s="3">
        <v>17</v>
      </c>
      <c r="K278" s="3">
        <f t="shared" si="24"/>
        <v>0</v>
      </c>
      <c r="L278" s="3">
        <f t="shared" si="25"/>
        <v>0</v>
      </c>
      <c r="M278" s="3">
        <f t="shared" si="26"/>
        <v>0</v>
      </c>
      <c r="N278" s="3">
        <v>87.4</v>
      </c>
      <c r="O278" s="3">
        <v>18.14</v>
      </c>
      <c r="P278" s="3">
        <v>1</v>
      </c>
      <c r="Q278" s="3">
        <v>3.4</v>
      </c>
      <c r="R278" s="3">
        <f t="shared" si="27"/>
        <v>0</v>
      </c>
      <c r="S278" s="3">
        <f t="shared" si="28"/>
        <v>1</v>
      </c>
      <c r="T278" s="3">
        <f t="shared" si="29"/>
        <v>0</v>
      </c>
    </row>
    <row r="279" spans="1:20">
      <c r="A279" s="3" t="s">
        <v>91</v>
      </c>
      <c r="B279" s="4">
        <v>45689</v>
      </c>
      <c r="C279" s="3" t="s">
        <v>24</v>
      </c>
      <c r="D279" s="3" t="s">
        <v>16</v>
      </c>
      <c r="E279" s="3">
        <v>738548.42</v>
      </c>
      <c r="F279" s="3">
        <v>134282.76999999999</v>
      </c>
      <c r="G279" s="3">
        <v>36832.33</v>
      </c>
      <c r="H279" s="3">
        <v>8001</v>
      </c>
      <c r="I279" s="3">
        <v>0</v>
      </c>
      <c r="J279" s="3">
        <v>19</v>
      </c>
      <c r="K279" s="3">
        <f t="shared" si="24"/>
        <v>0</v>
      </c>
      <c r="L279" s="3">
        <f t="shared" si="25"/>
        <v>0</v>
      </c>
      <c r="M279" s="3">
        <f t="shared" si="26"/>
        <v>0</v>
      </c>
      <c r="N279" s="3">
        <v>88.7</v>
      </c>
      <c r="O279" s="3">
        <v>3.39</v>
      </c>
      <c r="P279" s="3">
        <v>0</v>
      </c>
      <c r="Q279" s="3">
        <v>4</v>
      </c>
      <c r="R279" s="3">
        <f t="shared" si="27"/>
        <v>0</v>
      </c>
      <c r="S279" s="3">
        <f t="shared" si="28"/>
        <v>1</v>
      </c>
      <c r="T279" s="3">
        <f t="shared" si="29"/>
        <v>0</v>
      </c>
    </row>
    <row r="280" spans="1:20">
      <c r="A280" s="3" t="s">
        <v>91</v>
      </c>
      <c r="B280" s="4">
        <v>45717</v>
      </c>
      <c r="C280" s="3" t="s">
        <v>24</v>
      </c>
      <c r="D280" s="3" t="s">
        <v>16</v>
      </c>
      <c r="E280" s="3">
        <v>756619.77</v>
      </c>
      <c r="F280" s="3">
        <v>112057.69</v>
      </c>
      <c r="G280" s="3">
        <v>48609.41</v>
      </c>
      <c r="H280" s="3">
        <v>9324</v>
      </c>
      <c r="I280" s="3">
        <v>0.21299999999999999</v>
      </c>
      <c r="J280" s="3">
        <v>18</v>
      </c>
      <c r="K280" s="3">
        <f t="shared" si="24"/>
        <v>0</v>
      </c>
      <c r="L280" s="3">
        <f t="shared" si="25"/>
        <v>0</v>
      </c>
      <c r="M280" s="3">
        <f t="shared" si="26"/>
        <v>0</v>
      </c>
      <c r="N280" s="3">
        <v>86.5</v>
      </c>
      <c r="O280" s="3">
        <v>1.44</v>
      </c>
      <c r="P280" s="3">
        <v>0</v>
      </c>
      <c r="Q280" s="3">
        <v>3.9</v>
      </c>
      <c r="R280" s="3">
        <f t="shared" si="27"/>
        <v>0</v>
      </c>
      <c r="S280" s="3">
        <f t="shared" si="28"/>
        <v>1</v>
      </c>
      <c r="T280" s="3">
        <f t="shared" si="29"/>
        <v>0</v>
      </c>
    </row>
    <row r="281" spans="1:20">
      <c r="A281" s="3" t="s">
        <v>91</v>
      </c>
      <c r="B281" s="4">
        <v>45748</v>
      </c>
      <c r="C281" s="3" t="s">
        <v>24</v>
      </c>
      <c r="D281" s="3" t="s">
        <v>16</v>
      </c>
      <c r="E281" s="3">
        <v>761122.42</v>
      </c>
      <c r="F281" s="3">
        <v>149802.04</v>
      </c>
      <c r="G281" s="3">
        <v>70284.06</v>
      </c>
      <c r="H281" s="3">
        <v>9109</v>
      </c>
      <c r="I281" s="3">
        <v>4.0000000000000001E-3</v>
      </c>
      <c r="J281" s="3">
        <v>23</v>
      </c>
      <c r="K281" s="3">
        <f t="shared" si="24"/>
        <v>0</v>
      </c>
      <c r="L281" s="3">
        <f t="shared" si="25"/>
        <v>0</v>
      </c>
      <c r="M281" s="3">
        <f t="shared" si="26"/>
        <v>0</v>
      </c>
      <c r="N281" s="3">
        <v>87</v>
      </c>
      <c r="O281" s="3">
        <v>3.65</v>
      </c>
      <c r="P281" s="3">
        <v>0</v>
      </c>
      <c r="Q281" s="3">
        <v>3.7</v>
      </c>
      <c r="R281" s="3">
        <f t="shared" si="27"/>
        <v>0</v>
      </c>
      <c r="S281" s="3">
        <f t="shared" si="28"/>
        <v>1</v>
      </c>
      <c r="T281" s="3">
        <f t="shared" si="29"/>
        <v>0</v>
      </c>
    </row>
    <row r="282" spans="1:20">
      <c r="A282" s="3" t="s">
        <v>92</v>
      </c>
      <c r="B282" s="4">
        <v>45658</v>
      </c>
      <c r="C282" s="3" t="s">
        <v>24</v>
      </c>
      <c r="D282" s="3" t="s">
        <v>18</v>
      </c>
      <c r="E282" s="3">
        <v>524899.56999999995</v>
      </c>
      <c r="F282" s="3">
        <v>63619.98</v>
      </c>
      <c r="G282" s="3">
        <v>45940.39</v>
      </c>
      <c r="H282" s="3">
        <v>4022</v>
      </c>
      <c r="I282" s="3">
        <v>6.9000000000000006E-2</v>
      </c>
      <c r="J282" s="3">
        <v>10</v>
      </c>
      <c r="K282" s="3">
        <f t="shared" si="24"/>
        <v>1</v>
      </c>
      <c r="L282" s="3">
        <f t="shared" si="25"/>
        <v>0</v>
      </c>
      <c r="M282" s="3">
        <f t="shared" si="26"/>
        <v>0</v>
      </c>
      <c r="N282" s="3">
        <v>83</v>
      </c>
      <c r="O282" s="3">
        <v>1.23</v>
      </c>
      <c r="P282" s="3">
        <v>1</v>
      </c>
      <c r="Q282" s="3">
        <v>3.8</v>
      </c>
      <c r="R282" s="3">
        <f t="shared" si="27"/>
        <v>0</v>
      </c>
      <c r="S282" s="3">
        <f t="shared" si="28"/>
        <v>1</v>
      </c>
      <c r="T282" s="3">
        <f t="shared" si="29"/>
        <v>0</v>
      </c>
    </row>
    <row r="283" spans="1:20">
      <c r="A283" s="3" t="s">
        <v>92</v>
      </c>
      <c r="B283" s="4">
        <v>45689</v>
      </c>
      <c r="C283" s="3" t="s">
        <v>24</v>
      </c>
      <c r="D283" s="3" t="s">
        <v>18</v>
      </c>
      <c r="E283" s="3">
        <v>555557.77</v>
      </c>
      <c r="F283" s="3">
        <v>86475.51</v>
      </c>
      <c r="G283" s="3">
        <v>34771.26</v>
      </c>
      <c r="H283" s="3">
        <v>4355</v>
      </c>
      <c r="I283" s="3">
        <v>5.0999999999999997E-2</v>
      </c>
      <c r="J283" s="3">
        <v>15</v>
      </c>
      <c r="K283" s="3">
        <f t="shared" si="24"/>
        <v>1</v>
      </c>
      <c r="L283" s="3">
        <f t="shared" si="25"/>
        <v>0</v>
      </c>
      <c r="M283" s="3">
        <f t="shared" si="26"/>
        <v>0</v>
      </c>
      <c r="N283" s="3">
        <v>87.9</v>
      </c>
      <c r="O283" s="3">
        <v>3.09</v>
      </c>
      <c r="P283" s="3">
        <v>0</v>
      </c>
      <c r="Q283" s="3">
        <v>4</v>
      </c>
      <c r="R283" s="3">
        <f t="shared" si="27"/>
        <v>0</v>
      </c>
      <c r="S283" s="3">
        <f t="shared" si="28"/>
        <v>1</v>
      </c>
      <c r="T283" s="3">
        <f t="shared" si="29"/>
        <v>0</v>
      </c>
    </row>
    <row r="284" spans="1:20">
      <c r="A284" s="3" t="s">
        <v>92</v>
      </c>
      <c r="B284" s="4">
        <v>45717</v>
      </c>
      <c r="C284" s="3" t="s">
        <v>24</v>
      </c>
      <c r="D284" s="3" t="s">
        <v>18</v>
      </c>
      <c r="E284" s="3">
        <v>714083.68</v>
      </c>
      <c r="F284" s="3">
        <v>127231.74</v>
      </c>
      <c r="G284" s="3">
        <v>66104.19</v>
      </c>
      <c r="H284" s="3">
        <v>5745</v>
      </c>
      <c r="I284" s="3">
        <v>7.0000000000000007E-2</v>
      </c>
      <c r="J284" s="3">
        <v>17</v>
      </c>
      <c r="K284" s="3">
        <f t="shared" si="24"/>
        <v>1</v>
      </c>
      <c r="L284" s="3">
        <f t="shared" si="25"/>
        <v>0</v>
      </c>
      <c r="M284" s="3">
        <f t="shared" si="26"/>
        <v>0</v>
      </c>
      <c r="N284" s="3">
        <v>95.8</v>
      </c>
      <c r="O284" s="3">
        <v>3.15</v>
      </c>
      <c r="P284" s="3">
        <v>0</v>
      </c>
      <c r="Q284" s="3">
        <v>4</v>
      </c>
      <c r="R284" s="3">
        <f t="shared" si="27"/>
        <v>0</v>
      </c>
      <c r="S284" s="3">
        <f t="shared" si="28"/>
        <v>1</v>
      </c>
      <c r="T284" s="3">
        <f t="shared" si="29"/>
        <v>0</v>
      </c>
    </row>
    <row r="285" spans="1:20">
      <c r="A285" s="3" t="s">
        <v>92</v>
      </c>
      <c r="B285" s="4">
        <v>45748</v>
      </c>
      <c r="C285" s="3" t="s">
        <v>24</v>
      </c>
      <c r="D285" s="3" t="s">
        <v>18</v>
      </c>
      <c r="E285" s="3">
        <v>497439.82</v>
      </c>
      <c r="F285" s="3">
        <v>93372.75</v>
      </c>
      <c r="G285" s="3">
        <v>18599.21</v>
      </c>
      <c r="H285" s="3">
        <v>3027</v>
      </c>
      <c r="I285" s="3">
        <v>0.122</v>
      </c>
      <c r="J285" s="3">
        <v>11</v>
      </c>
      <c r="K285" s="3">
        <f t="shared" si="24"/>
        <v>1</v>
      </c>
      <c r="L285" s="3">
        <f t="shared" si="25"/>
        <v>0</v>
      </c>
      <c r="M285" s="3">
        <f t="shared" si="26"/>
        <v>0</v>
      </c>
      <c r="N285" s="3">
        <v>80.900000000000006</v>
      </c>
      <c r="O285" s="3">
        <v>6.44</v>
      </c>
      <c r="P285" s="3">
        <v>0</v>
      </c>
      <c r="Q285" s="3">
        <v>4.2</v>
      </c>
      <c r="R285" s="3">
        <f t="shared" si="27"/>
        <v>0</v>
      </c>
      <c r="S285" s="3">
        <f t="shared" si="28"/>
        <v>1</v>
      </c>
      <c r="T285" s="3">
        <f t="shared" si="29"/>
        <v>0</v>
      </c>
    </row>
    <row r="286" spans="1:20">
      <c r="A286" s="3" t="s">
        <v>93</v>
      </c>
      <c r="B286" s="4">
        <v>45658</v>
      </c>
      <c r="C286" s="3" t="s">
        <v>27</v>
      </c>
      <c r="D286" s="3" t="s">
        <v>16</v>
      </c>
      <c r="E286" s="3">
        <v>636775.66</v>
      </c>
      <c r="F286" s="3">
        <v>122636.86</v>
      </c>
      <c r="G286" s="3">
        <v>60183.06</v>
      </c>
      <c r="H286" s="3">
        <v>5562</v>
      </c>
      <c r="I286" s="3">
        <v>8.9999999999999993E-3</v>
      </c>
      <c r="J286" s="3">
        <v>13</v>
      </c>
      <c r="K286" s="3">
        <f t="shared" si="24"/>
        <v>0</v>
      </c>
      <c r="L286" s="3">
        <f t="shared" si="25"/>
        <v>0</v>
      </c>
      <c r="M286" s="3">
        <f t="shared" si="26"/>
        <v>0</v>
      </c>
      <c r="N286" s="3">
        <v>86.3</v>
      </c>
      <c r="O286" s="3">
        <v>0.2</v>
      </c>
      <c r="P286" s="3">
        <v>1</v>
      </c>
      <c r="Q286" s="3">
        <v>4.5</v>
      </c>
      <c r="R286" s="3">
        <f t="shared" si="27"/>
        <v>0</v>
      </c>
      <c r="S286" s="3">
        <f t="shared" si="28"/>
        <v>0</v>
      </c>
      <c r="T286" s="3">
        <f t="shared" si="29"/>
        <v>1</v>
      </c>
    </row>
    <row r="287" spans="1:20">
      <c r="A287" s="3" t="s">
        <v>93</v>
      </c>
      <c r="B287" s="4">
        <v>45689</v>
      </c>
      <c r="C287" s="3" t="s">
        <v>27</v>
      </c>
      <c r="D287" s="3" t="s">
        <v>16</v>
      </c>
      <c r="E287" s="3">
        <v>633009.53</v>
      </c>
      <c r="F287" s="3">
        <v>123782.67</v>
      </c>
      <c r="G287" s="3">
        <v>74539.14</v>
      </c>
      <c r="H287" s="3">
        <v>4487</v>
      </c>
      <c r="I287" s="3">
        <v>0.14000000000000001</v>
      </c>
      <c r="J287" s="3">
        <v>10</v>
      </c>
      <c r="K287" s="3">
        <f t="shared" si="24"/>
        <v>0</v>
      </c>
      <c r="L287" s="3">
        <f t="shared" si="25"/>
        <v>0</v>
      </c>
      <c r="M287" s="3">
        <f t="shared" si="26"/>
        <v>0</v>
      </c>
      <c r="N287" s="3">
        <v>90.4</v>
      </c>
      <c r="O287" s="3">
        <v>0.59</v>
      </c>
      <c r="P287" s="3">
        <v>0</v>
      </c>
      <c r="Q287" s="3">
        <v>4.5</v>
      </c>
      <c r="R287" s="3">
        <f t="shared" si="27"/>
        <v>0</v>
      </c>
      <c r="S287" s="3">
        <f t="shared" si="28"/>
        <v>0</v>
      </c>
      <c r="T287" s="3">
        <f t="shared" si="29"/>
        <v>1</v>
      </c>
    </row>
    <row r="288" spans="1:20">
      <c r="A288" s="3" t="s">
        <v>93</v>
      </c>
      <c r="B288" s="4">
        <v>45717</v>
      </c>
      <c r="C288" s="3" t="s">
        <v>27</v>
      </c>
      <c r="D288" s="3" t="s">
        <v>16</v>
      </c>
      <c r="E288" s="3">
        <v>609949</v>
      </c>
      <c r="F288" s="3">
        <v>126789.25</v>
      </c>
      <c r="G288" s="3">
        <v>55371.97</v>
      </c>
      <c r="H288" s="3">
        <v>4162</v>
      </c>
      <c r="I288" s="3">
        <v>0.183</v>
      </c>
      <c r="J288" s="3">
        <v>11</v>
      </c>
      <c r="K288" s="3">
        <f t="shared" si="24"/>
        <v>0</v>
      </c>
      <c r="L288" s="3">
        <f t="shared" si="25"/>
        <v>0</v>
      </c>
      <c r="M288" s="3">
        <f t="shared" si="26"/>
        <v>0</v>
      </c>
      <c r="N288" s="3">
        <v>92</v>
      </c>
      <c r="O288" s="3">
        <v>0.2</v>
      </c>
      <c r="P288" s="3">
        <v>1</v>
      </c>
      <c r="Q288" s="3">
        <v>4.2</v>
      </c>
      <c r="R288" s="3">
        <f t="shared" si="27"/>
        <v>0</v>
      </c>
      <c r="S288" s="3">
        <f t="shared" si="28"/>
        <v>0</v>
      </c>
      <c r="T288" s="3">
        <f t="shared" si="29"/>
        <v>1</v>
      </c>
    </row>
    <row r="289" spans="1:20">
      <c r="A289" s="3" t="s">
        <v>93</v>
      </c>
      <c r="B289" s="4">
        <v>45748</v>
      </c>
      <c r="C289" s="3" t="s">
        <v>27</v>
      </c>
      <c r="D289" s="3" t="s">
        <v>16</v>
      </c>
      <c r="E289" s="3">
        <v>548103.69999999995</v>
      </c>
      <c r="F289" s="3">
        <v>99905.52</v>
      </c>
      <c r="G289" s="3">
        <v>40928.69</v>
      </c>
      <c r="H289" s="3">
        <v>4094</v>
      </c>
      <c r="I289" s="3">
        <v>0.17399999999999999</v>
      </c>
      <c r="J289" s="3">
        <v>13</v>
      </c>
      <c r="K289" s="3">
        <f t="shared" si="24"/>
        <v>0</v>
      </c>
      <c r="L289" s="3">
        <f t="shared" si="25"/>
        <v>0</v>
      </c>
      <c r="M289" s="3">
        <f t="shared" si="26"/>
        <v>0</v>
      </c>
      <c r="N289" s="3">
        <v>82.4</v>
      </c>
      <c r="O289" s="3">
        <v>1.36</v>
      </c>
      <c r="P289" s="3">
        <v>0</v>
      </c>
      <c r="Q289" s="3">
        <v>4.8</v>
      </c>
      <c r="R289" s="3">
        <f t="shared" si="27"/>
        <v>0</v>
      </c>
      <c r="S289" s="3">
        <f t="shared" si="28"/>
        <v>0</v>
      </c>
      <c r="T289" s="3">
        <f t="shared" si="29"/>
        <v>1</v>
      </c>
    </row>
    <row r="290" spans="1:20">
      <c r="A290" s="3" t="s">
        <v>94</v>
      </c>
      <c r="B290" s="4">
        <v>45658</v>
      </c>
      <c r="C290" s="3" t="s">
        <v>15</v>
      </c>
      <c r="D290" s="3" t="s">
        <v>16</v>
      </c>
      <c r="E290" s="3">
        <v>729424.42</v>
      </c>
      <c r="F290" s="3">
        <v>75592.28</v>
      </c>
      <c r="G290" s="3">
        <v>70012.41</v>
      </c>
      <c r="H290" s="3">
        <v>8484</v>
      </c>
      <c r="I290" s="3">
        <v>0.27300000000000002</v>
      </c>
      <c r="J290" s="3">
        <v>23</v>
      </c>
      <c r="K290" s="3">
        <f t="shared" si="24"/>
        <v>0</v>
      </c>
      <c r="L290" s="3">
        <f t="shared" si="25"/>
        <v>0</v>
      </c>
      <c r="M290" s="3">
        <f t="shared" si="26"/>
        <v>0</v>
      </c>
      <c r="N290" s="3">
        <v>72.900000000000006</v>
      </c>
      <c r="O290" s="3">
        <v>3.34</v>
      </c>
      <c r="P290" s="3">
        <v>0</v>
      </c>
      <c r="Q290" s="3">
        <v>3.7</v>
      </c>
      <c r="R290" s="3">
        <f t="shared" si="27"/>
        <v>1</v>
      </c>
      <c r="S290" s="3">
        <f t="shared" si="28"/>
        <v>0</v>
      </c>
      <c r="T290" s="3">
        <f t="shared" si="29"/>
        <v>0</v>
      </c>
    </row>
    <row r="291" spans="1:20">
      <c r="A291" s="3" t="s">
        <v>94</v>
      </c>
      <c r="B291" s="4">
        <v>45689</v>
      </c>
      <c r="C291" s="3" t="s">
        <v>15</v>
      </c>
      <c r="D291" s="3" t="s">
        <v>16</v>
      </c>
      <c r="E291" s="3">
        <v>696261.49</v>
      </c>
      <c r="F291" s="3">
        <v>72455.350000000006</v>
      </c>
      <c r="G291" s="3">
        <v>68909.259999999995</v>
      </c>
      <c r="H291" s="3">
        <v>7794</v>
      </c>
      <c r="I291" s="3">
        <v>0.28399999999999997</v>
      </c>
      <c r="J291" s="3">
        <v>22</v>
      </c>
      <c r="K291" s="3">
        <f t="shared" si="24"/>
        <v>0</v>
      </c>
      <c r="L291" s="3">
        <f t="shared" si="25"/>
        <v>0</v>
      </c>
      <c r="M291" s="3">
        <f t="shared" si="26"/>
        <v>0</v>
      </c>
      <c r="N291" s="3">
        <v>89</v>
      </c>
      <c r="O291" s="3">
        <v>0.33</v>
      </c>
      <c r="P291" s="3">
        <v>0</v>
      </c>
      <c r="Q291" s="3">
        <v>4</v>
      </c>
      <c r="R291" s="3">
        <f t="shared" si="27"/>
        <v>1</v>
      </c>
      <c r="S291" s="3">
        <f t="shared" si="28"/>
        <v>0</v>
      </c>
      <c r="T291" s="3">
        <f t="shared" si="29"/>
        <v>0</v>
      </c>
    </row>
    <row r="292" spans="1:20">
      <c r="A292" s="3" t="s">
        <v>94</v>
      </c>
      <c r="B292" s="4">
        <v>45717</v>
      </c>
      <c r="C292" s="3" t="s">
        <v>15</v>
      </c>
      <c r="D292" s="3" t="s">
        <v>16</v>
      </c>
      <c r="E292" s="3">
        <v>813316.71</v>
      </c>
      <c r="F292" s="3">
        <v>110077.42</v>
      </c>
      <c r="G292" s="3">
        <v>56737.3</v>
      </c>
      <c r="H292" s="3">
        <v>8300</v>
      </c>
      <c r="I292" s="3">
        <v>3.2000000000000001E-2</v>
      </c>
      <c r="J292" s="3">
        <v>21</v>
      </c>
      <c r="K292" s="3">
        <f t="shared" si="24"/>
        <v>0</v>
      </c>
      <c r="L292" s="3">
        <f t="shared" si="25"/>
        <v>0</v>
      </c>
      <c r="M292" s="3">
        <f t="shared" si="26"/>
        <v>0</v>
      </c>
      <c r="N292" s="3">
        <v>83.2</v>
      </c>
      <c r="O292" s="3">
        <v>3.44</v>
      </c>
      <c r="P292" s="3">
        <v>1</v>
      </c>
      <c r="Q292" s="3">
        <v>4.3</v>
      </c>
      <c r="R292" s="3">
        <f t="shared" si="27"/>
        <v>1</v>
      </c>
      <c r="S292" s="3">
        <f t="shared" si="28"/>
        <v>0</v>
      </c>
      <c r="T292" s="3">
        <f t="shared" si="29"/>
        <v>0</v>
      </c>
    </row>
    <row r="293" spans="1:20">
      <c r="A293" s="3" t="s">
        <v>94</v>
      </c>
      <c r="B293" s="4">
        <v>45748</v>
      </c>
      <c r="C293" s="3" t="s">
        <v>15</v>
      </c>
      <c r="D293" s="3" t="s">
        <v>16</v>
      </c>
      <c r="E293" s="3">
        <v>702068.92</v>
      </c>
      <c r="F293" s="3">
        <v>111266.63</v>
      </c>
      <c r="G293" s="3">
        <v>54080.91</v>
      </c>
      <c r="H293" s="3">
        <v>7083</v>
      </c>
      <c r="I293" s="3">
        <v>0</v>
      </c>
      <c r="J293" s="3">
        <v>15</v>
      </c>
      <c r="K293" s="3">
        <f t="shared" si="24"/>
        <v>0</v>
      </c>
      <c r="L293" s="3">
        <f t="shared" si="25"/>
        <v>0</v>
      </c>
      <c r="M293" s="3">
        <f t="shared" si="26"/>
        <v>0</v>
      </c>
      <c r="N293" s="3">
        <v>97</v>
      </c>
      <c r="O293" s="3">
        <v>5.33</v>
      </c>
      <c r="P293" s="3">
        <v>0</v>
      </c>
      <c r="Q293" s="3">
        <v>4.0999999999999996</v>
      </c>
      <c r="R293" s="3">
        <f t="shared" si="27"/>
        <v>1</v>
      </c>
      <c r="S293" s="3">
        <f t="shared" si="28"/>
        <v>0</v>
      </c>
      <c r="T293" s="3">
        <f t="shared" si="29"/>
        <v>0</v>
      </c>
    </row>
    <row r="294" spans="1:20">
      <c r="A294" s="3" t="s">
        <v>95</v>
      </c>
      <c r="B294" s="4">
        <v>45658</v>
      </c>
      <c r="C294" s="3" t="s">
        <v>27</v>
      </c>
      <c r="D294" s="3" t="s">
        <v>18</v>
      </c>
      <c r="E294" s="3">
        <v>546223.69999999995</v>
      </c>
      <c r="F294" s="3">
        <v>100769.17</v>
      </c>
      <c r="G294" s="3">
        <v>51996.32</v>
      </c>
      <c r="H294" s="3">
        <v>3834</v>
      </c>
      <c r="I294" s="3">
        <v>9.6000000000000002E-2</v>
      </c>
      <c r="J294" s="3">
        <v>8</v>
      </c>
      <c r="K294" s="3">
        <f t="shared" si="24"/>
        <v>1</v>
      </c>
      <c r="L294" s="3">
        <f t="shared" si="25"/>
        <v>0</v>
      </c>
      <c r="M294" s="3">
        <f t="shared" si="26"/>
        <v>0</v>
      </c>
      <c r="N294" s="3">
        <v>86.7</v>
      </c>
      <c r="O294" s="3">
        <v>6.04</v>
      </c>
      <c r="P294" s="3">
        <v>0</v>
      </c>
      <c r="Q294" s="3">
        <v>4.5</v>
      </c>
      <c r="R294" s="3">
        <f t="shared" si="27"/>
        <v>0</v>
      </c>
      <c r="S294" s="3">
        <f t="shared" si="28"/>
        <v>0</v>
      </c>
      <c r="T294" s="3">
        <f t="shared" si="29"/>
        <v>1</v>
      </c>
    </row>
    <row r="295" spans="1:20">
      <c r="A295" s="3" t="s">
        <v>95</v>
      </c>
      <c r="B295" s="4">
        <v>45689</v>
      </c>
      <c r="C295" s="3" t="s">
        <v>27</v>
      </c>
      <c r="D295" s="3" t="s">
        <v>18</v>
      </c>
      <c r="E295" s="3">
        <v>533121.26</v>
      </c>
      <c r="F295" s="3">
        <v>55063.39</v>
      </c>
      <c r="G295" s="3">
        <v>40102.879999999997</v>
      </c>
      <c r="H295" s="3">
        <v>2358</v>
      </c>
      <c r="I295" s="3">
        <v>0.11899999999999999</v>
      </c>
      <c r="J295" s="3">
        <v>9</v>
      </c>
      <c r="K295" s="3">
        <f t="shared" si="24"/>
        <v>1</v>
      </c>
      <c r="L295" s="3">
        <f t="shared" si="25"/>
        <v>0</v>
      </c>
      <c r="M295" s="3">
        <f t="shared" si="26"/>
        <v>0</v>
      </c>
      <c r="N295" s="3">
        <v>88.7</v>
      </c>
      <c r="O295" s="3">
        <v>1.6</v>
      </c>
      <c r="P295" s="3">
        <v>0</v>
      </c>
      <c r="Q295" s="3">
        <v>4.2</v>
      </c>
      <c r="R295" s="3">
        <f t="shared" si="27"/>
        <v>0</v>
      </c>
      <c r="S295" s="3">
        <f t="shared" si="28"/>
        <v>0</v>
      </c>
      <c r="T295" s="3">
        <f t="shared" si="29"/>
        <v>1</v>
      </c>
    </row>
    <row r="296" spans="1:20">
      <c r="A296" s="3" t="s">
        <v>95</v>
      </c>
      <c r="B296" s="4">
        <v>45717</v>
      </c>
      <c r="C296" s="3" t="s">
        <v>27</v>
      </c>
      <c r="D296" s="3" t="s">
        <v>18</v>
      </c>
      <c r="E296" s="3">
        <v>498970.32</v>
      </c>
      <c r="F296" s="3">
        <v>69656.7</v>
      </c>
      <c r="G296" s="3">
        <v>59825.51</v>
      </c>
      <c r="H296" s="3">
        <v>1231</v>
      </c>
      <c r="I296" s="3">
        <v>0.214</v>
      </c>
      <c r="J296" s="3">
        <v>10</v>
      </c>
      <c r="K296" s="3">
        <f t="shared" si="24"/>
        <v>1</v>
      </c>
      <c r="L296" s="3">
        <f t="shared" si="25"/>
        <v>0</v>
      </c>
      <c r="M296" s="3">
        <f t="shared" si="26"/>
        <v>0</v>
      </c>
      <c r="N296" s="3">
        <v>84.8</v>
      </c>
      <c r="O296" s="3">
        <v>8.9600000000000009</v>
      </c>
      <c r="P296" s="3">
        <v>0</v>
      </c>
      <c r="Q296" s="3">
        <v>4.7</v>
      </c>
      <c r="R296" s="3">
        <f t="shared" si="27"/>
        <v>0</v>
      </c>
      <c r="S296" s="3">
        <f t="shared" si="28"/>
        <v>0</v>
      </c>
      <c r="T296" s="3">
        <f t="shared" si="29"/>
        <v>1</v>
      </c>
    </row>
    <row r="297" spans="1:20">
      <c r="A297" s="3" t="s">
        <v>95</v>
      </c>
      <c r="B297" s="4">
        <v>45748</v>
      </c>
      <c r="C297" s="3" t="s">
        <v>27</v>
      </c>
      <c r="D297" s="3" t="s">
        <v>18</v>
      </c>
      <c r="E297" s="3">
        <v>487738.26</v>
      </c>
      <c r="F297" s="3">
        <v>96435.6</v>
      </c>
      <c r="G297" s="3">
        <v>27398.28</v>
      </c>
      <c r="H297" s="3">
        <v>1723</v>
      </c>
      <c r="I297" s="3">
        <v>0.17100000000000001</v>
      </c>
      <c r="J297" s="3">
        <v>9</v>
      </c>
      <c r="K297" s="3">
        <f t="shared" si="24"/>
        <v>1</v>
      </c>
      <c r="L297" s="3">
        <f t="shared" si="25"/>
        <v>0</v>
      </c>
      <c r="M297" s="3">
        <f t="shared" si="26"/>
        <v>0</v>
      </c>
      <c r="N297" s="3">
        <v>81</v>
      </c>
      <c r="O297" s="3">
        <v>0.74</v>
      </c>
      <c r="P297" s="3">
        <v>0</v>
      </c>
      <c r="Q297" s="3">
        <v>4.5999999999999996</v>
      </c>
      <c r="R297" s="3">
        <f t="shared" si="27"/>
        <v>0</v>
      </c>
      <c r="S297" s="3">
        <f t="shared" si="28"/>
        <v>0</v>
      </c>
      <c r="T297" s="3">
        <f t="shared" si="29"/>
        <v>1</v>
      </c>
    </row>
    <row r="298" spans="1:20">
      <c r="A298" s="3" t="s">
        <v>96</v>
      </c>
      <c r="B298" s="4">
        <v>45658</v>
      </c>
      <c r="C298" s="3" t="s">
        <v>27</v>
      </c>
      <c r="D298" s="3" t="s">
        <v>18</v>
      </c>
      <c r="E298" s="3">
        <v>668459.37</v>
      </c>
      <c r="F298" s="3">
        <v>126435.42</v>
      </c>
      <c r="G298" s="3">
        <v>55599.56</v>
      </c>
      <c r="H298" s="3">
        <v>5896</v>
      </c>
      <c r="I298" s="3">
        <v>3.5999999999999997E-2</v>
      </c>
      <c r="J298" s="3">
        <v>12</v>
      </c>
      <c r="K298" s="3">
        <f t="shared" si="24"/>
        <v>1</v>
      </c>
      <c r="L298" s="3">
        <f t="shared" si="25"/>
        <v>0</v>
      </c>
      <c r="M298" s="3">
        <f t="shared" si="26"/>
        <v>0</v>
      </c>
      <c r="N298" s="3">
        <v>93.1</v>
      </c>
      <c r="O298" s="3">
        <v>6.13</v>
      </c>
      <c r="P298" s="3">
        <v>0</v>
      </c>
      <c r="Q298" s="3">
        <v>3.3</v>
      </c>
      <c r="R298" s="3">
        <f t="shared" si="27"/>
        <v>0</v>
      </c>
      <c r="S298" s="3">
        <f t="shared" si="28"/>
        <v>0</v>
      </c>
      <c r="T298" s="3">
        <f t="shared" si="29"/>
        <v>1</v>
      </c>
    </row>
    <row r="299" spans="1:20">
      <c r="A299" s="3" t="s">
        <v>96</v>
      </c>
      <c r="B299" s="4">
        <v>45689</v>
      </c>
      <c r="C299" s="3" t="s">
        <v>27</v>
      </c>
      <c r="D299" s="3" t="s">
        <v>18</v>
      </c>
      <c r="E299" s="3">
        <v>763162.45</v>
      </c>
      <c r="F299" s="3">
        <v>162524.04999999999</v>
      </c>
      <c r="G299" s="3">
        <v>55477.61</v>
      </c>
      <c r="H299" s="3">
        <v>5903</v>
      </c>
      <c r="I299" s="3">
        <v>0.10199999999999999</v>
      </c>
      <c r="J299" s="3">
        <v>14</v>
      </c>
      <c r="K299" s="3">
        <f t="shared" si="24"/>
        <v>1</v>
      </c>
      <c r="L299" s="3">
        <f t="shared" si="25"/>
        <v>0</v>
      </c>
      <c r="M299" s="3">
        <f t="shared" si="26"/>
        <v>0</v>
      </c>
      <c r="N299" s="3">
        <v>96.2</v>
      </c>
      <c r="O299" s="3">
        <v>1.41</v>
      </c>
      <c r="P299" s="3">
        <v>0</v>
      </c>
      <c r="Q299" s="3">
        <v>3.3</v>
      </c>
      <c r="R299" s="3">
        <f t="shared" si="27"/>
        <v>0</v>
      </c>
      <c r="S299" s="3">
        <f t="shared" si="28"/>
        <v>0</v>
      </c>
      <c r="T299" s="3">
        <f t="shared" si="29"/>
        <v>1</v>
      </c>
    </row>
    <row r="300" spans="1:20">
      <c r="A300" s="3" t="s">
        <v>96</v>
      </c>
      <c r="B300" s="4">
        <v>45717</v>
      </c>
      <c r="C300" s="3" t="s">
        <v>27</v>
      </c>
      <c r="D300" s="3" t="s">
        <v>18</v>
      </c>
      <c r="E300" s="3">
        <v>599017.32999999996</v>
      </c>
      <c r="F300" s="3">
        <v>134009.92000000001</v>
      </c>
      <c r="G300" s="3">
        <v>46174.7</v>
      </c>
      <c r="H300" s="3">
        <v>4898</v>
      </c>
      <c r="I300" s="3">
        <v>0.114</v>
      </c>
      <c r="J300" s="3">
        <v>11</v>
      </c>
      <c r="K300" s="3">
        <f t="shared" si="24"/>
        <v>1</v>
      </c>
      <c r="L300" s="3">
        <f t="shared" si="25"/>
        <v>0</v>
      </c>
      <c r="M300" s="3">
        <f t="shared" si="26"/>
        <v>0</v>
      </c>
      <c r="N300" s="3">
        <v>91.7</v>
      </c>
      <c r="O300" s="3">
        <v>3.75</v>
      </c>
      <c r="P300" s="3">
        <v>0</v>
      </c>
      <c r="Q300" s="3">
        <v>3.1</v>
      </c>
      <c r="R300" s="3">
        <f t="shared" si="27"/>
        <v>0</v>
      </c>
      <c r="S300" s="3">
        <f t="shared" si="28"/>
        <v>0</v>
      </c>
      <c r="T300" s="3">
        <f t="shared" si="29"/>
        <v>1</v>
      </c>
    </row>
    <row r="301" spans="1:20">
      <c r="A301" s="3" t="s">
        <v>96</v>
      </c>
      <c r="B301" s="4">
        <v>45748</v>
      </c>
      <c r="C301" s="3" t="s">
        <v>27</v>
      </c>
      <c r="D301" s="3" t="s">
        <v>18</v>
      </c>
      <c r="E301" s="3">
        <v>401582.58</v>
      </c>
      <c r="F301" s="3">
        <v>68454.929999999993</v>
      </c>
      <c r="G301" s="3">
        <v>24362.98</v>
      </c>
      <c r="H301" s="3">
        <v>1462</v>
      </c>
      <c r="I301" s="3">
        <v>0.11700000000000001</v>
      </c>
      <c r="J301" s="3">
        <v>6</v>
      </c>
      <c r="K301" s="3">
        <f t="shared" si="24"/>
        <v>1</v>
      </c>
      <c r="L301" s="3">
        <f t="shared" si="25"/>
        <v>0</v>
      </c>
      <c r="M301" s="3">
        <f t="shared" si="26"/>
        <v>0</v>
      </c>
      <c r="N301" s="3">
        <v>89.3</v>
      </c>
      <c r="O301" s="3">
        <v>15.06</v>
      </c>
      <c r="P301" s="3">
        <v>0</v>
      </c>
      <c r="Q301" s="3">
        <v>3.2</v>
      </c>
      <c r="R301" s="3">
        <f t="shared" si="27"/>
        <v>0</v>
      </c>
      <c r="S301" s="3">
        <f t="shared" si="28"/>
        <v>0</v>
      </c>
      <c r="T301" s="3">
        <f t="shared" si="29"/>
        <v>1</v>
      </c>
    </row>
    <row r="302" spans="1:20">
      <c r="A302" s="3" t="s">
        <v>97</v>
      </c>
      <c r="B302" s="4">
        <v>45658</v>
      </c>
      <c r="C302" s="3" t="s">
        <v>20</v>
      </c>
      <c r="D302" s="3" t="s">
        <v>28</v>
      </c>
      <c r="E302" s="3">
        <v>703812.99</v>
      </c>
      <c r="F302" s="3">
        <v>133577.98000000001</v>
      </c>
      <c r="G302" s="3">
        <v>40647.67</v>
      </c>
      <c r="H302" s="3">
        <v>8252</v>
      </c>
      <c r="I302" s="3">
        <v>0.14099999999999999</v>
      </c>
      <c r="J302" s="3">
        <v>22</v>
      </c>
      <c r="K302" s="3">
        <f t="shared" si="24"/>
        <v>0</v>
      </c>
      <c r="L302" s="3">
        <f t="shared" si="25"/>
        <v>0</v>
      </c>
      <c r="M302" s="3">
        <f t="shared" si="26"/>
        <v>1</v>
      </c>
      <c r="N302" s="3">
        <v>88.2</v>
      </c>
      <c r="O302" s="3">
        <v>5.07</v>
      </c>
      <c r="P302" s="3">
        <v>1</v>
      </c>
      <c r="Q302" s="3">
        <v>4.0999999999999996</v>
      </c>
      <c r="R302" s="3">
        <f t="shared" si="27"/>
        <v>0</v>
      </c>
      <c r="S302" s="3">
        <f t="shared" si="28"/>
        <v>0</v>
      </c>
      <c r="T302" s="3">
        <f t="shared" si="29"/>
        <v>0</v>
      </c>
    </row>
    <row r="303" spans="1:20">
      <c r="A303" s="3" t="s">
        <v>97</v>
      </c>
      <c r="B303" s="4">
        <v>45689</v>
      </c>
      <c r="C303" s="3" t="s">
        <v>20</v>
      </c>
      <c r="D303" s="3" t="s">
        <v>28</v>
      </c>
      <c r="E303" s="3">
        <v>724346.73</v>
      </c>
      <c r="F303" s="3">
        <v>155013.91</v>
      </c>
      <c r="G303" s="3">
        <v>63986.98</v>
      </c>
      <c r="H303" s="3">
        <v>7989</v>
      </c>
      <c r="I303" s="3">
        <v>7.3999999999999996E-2</v>
      </c>
      <c r="J303" s="3">
        <v>20</v>
      </c>
      <c r="K303" s="3">
        <f t="shared" si="24"/>
        <v>0</v>
      </c>
      <c r="L303" s="3">
        <f t="shared" si="25"/>
        <v>0</v>
      </c>
      <c r="M303" s="3">
        <f t="shared" si="26"/>
        <v>1</v>
      </c>
      <c r="N303" s="3">
        <v>83.3</v>
      </c>
      <c r="O303" s="3">
        <v>3.6</v>
      </c>
      <c r="P303" s="3">
        <v>0</v>
      </c>
      <c r="Q303" s="3">
        <v>3.7</v>
      </c>
      <c r="R303" s="3">
        <f t="shared" si="27"/>
        <v>0</v>
      </c>
      <c r="S303" s="3">
        <f t="shared" si="28"/>
        <v>0</v>
      </c>
      <c r="T303" s="3">
        <f t="shared" si="29"/>
        <v>0</v>
      </c>
    </row>
    <row r="304" spans="1:20">
      <c r="A304" s="3" t="s">
        <v>97</v>
      </c>
      <c r="B304" s="4">
        <v>45717</v>
      </c>
      <c r="C304" s="3" t="s">
        <v>20</v>
      </c>
      <c r="D304" s="3" t="s">
        <v>28</v>
      </c>
      <c r="E304" s="3">
        <v>730890.01</v>
      </c>
      <c r="F304" s="3">
        <v>105502.56</v>
      </c>
      <c r="G304" s="3">
        <v>52843.75</v>
      </c>
      <c r="H304" s="3">
        <v>8268</v>
      </c>
      <c r="I304" s="3">
        <v>0.13800000000000001</v>
      </c>
      <c r="J304" s="3">
        <v>19</v>
      </c>
      <c r="K304" s="3">
        <f t="shared" si="24"/>
        <v>0</v>
      </c>
      <c r="L304" s="3">
        <f t="shared" si="25"/>
        <v>0</v>
      </c>
      <c r="M304" s="3">
        <f t="shared" si="26"/>
        <v>1</v>
      </c>
      <c r="N304" s="3">
        <v>87.3</v>
      </c>
      <c r="O304" s="3">
        <v>4.3899999999999997</v>
      </c>
      <c r="P304" s="3">
        <v>1</v>
      </c>
      <c r="Q304" s="3">
        <v>4.7</v>
      </c>
      <c r="R304" s="3">
        <f t="shared" si="27"/>
        <v>0</v>
      </c>
      <c r="S304" s="3">
        <f t="shared" si="28"/>
        <v>0</v>
      </c>
      <c r="T304" s="3">
        <f t="shared" si="29"/>
        <v>0</v>
      </c>
    </row>
    <row r="305" spans="1:20">
      <c r="A305" s="3" t="s">
        <v>97</v>
      </c>
      <c r="B305" s="4">
        <v>45748</v>
      </c>
      <c r="C305" s="3" t="s">
        <v>20</v>
      </c>
      <c r="D305" s="3" t="s">
        <v>28</v>
      </c>
      <c r="E305" s="3">
        <v>780580.95</v>
      </c>
      <c r="F305" s="3">
        <v>138144.46</v>
      </c>
      <c r="G305" s="3">
        <v>31997.25</v>
      </c>
      <c r="H305" s="3">
        <v>8183</v>
      </c>
      <c r="I305" s="3">
        <v>0.19800000000000001</v>
      </c>
      <c r="J305" s="3">
        <v>18</v>
      </c>
      <c r="K305" s="3">
        <f t="shared" si="24"/>
        <v>0</v>
      </c>
      <c r="L305" s="3">
        <f t="shared" si="25"/>
        <v>0</v>
      </c>
      <c r="M305" s="3">
        <f t="shared" si="26"/>
        <v>1</v>
      </c>
      <c r="N305" s="3">
        <v>93</v>
      </c>
      <c r="O305" s="3">
        <v>2.79</v>
      </c>
      <c r="P305" s="3">
        <v>0</v>
      </c>
      <c r="Q305" s="3">
        <v>4.2</v>
      </c>
      <c r="R305" s="3">
        <f t="shared" si="27"/>
        <v>0</v>
      </c>
      <c r="S305" s="3">
        <f t="shared" si="28"/>
        <v>0</v>
      </c>
      <c r="T305" s="3">
        <f t="shared" si="29"/>
        <v>0</v>
      </c>
    </row>
    <row r="306" spans="1:20">
      <c r="A306" s="3" t="s">
        <v>98</v>
      </c>
      <c r="B306" s="4">
        <v>45658</v>
      </c>
      <c r="C306" s="3" t="s">
        <v>24</v>
      </c>
      <c r="D306" s="3" t="s">
        <v>16</v>
      </c>
      <c r="E306" s="3">
        <v>727957.48</v>
      </c>
      <c r="F306" s="3">
        <v>74805.23</v>
      </c>
      <c r="G306" s="3">
        <v>54948.02</v>
      </c>
      <c r="H306" s="3">
        <v>6534</v>
      </c>
      <c r="I306" s="3">
        <v>0.183</v>
      </c>
      <c r="J306" s="3">
        <v>14</v>
      </c>
      <c r="K306" s="3">
        <f t="shared" si="24"/>
        <v>0</v>
      </c>
      <c r="L306" s="3">
        <f t="shared" si="25"/>
        <v>0</v>
      </c>
      <c r="M306" s="3">
        <f t="shared" si="26"/>
        <v>0</v>
      </c>
      <c r="N306" s="3">
        <v>94.5</v>
      </c>
      <c r="O306" s="3">
        <v>1.56</v>
      </c>
      <c r="P306" s="3">
        <v>0</v>
      </c>
      <c r="Q306" s="3">
        <v>4</v>
      </c>
      <c r="R306" s="3">
        <f t="shared" si="27"/>
        <v>0</v>
      </c>
      <c r="S306" s="3">
        <f t="shared" si="28"/>
        <v>1</v>
      </c>
      <c r="T306" s="3">
        <f t="shared" si="29"/>
        <v>0</v>
      </c>
    </row>
    <row r="307" spans="1:20">
      <c r="A307" s="3" t="s">
        <v>98</v>
      </c>
      <c r="B307" s="4">
        <v>45689</v>
      </c>
      <c r="C307" s="3" t="s">
        <v>24</v>
      </c>
      <c r="D307" s="3" t="s">
        <v>16</v>
      </c>
      <c r="E307" s="3">
        <v>538376</v>
      </c>
      <c r="F307" s="3">
        <v>87605.62</v>
      </c>
      <c r="G307" s="3">
        <v>46146.239999999998</v>
      </c>
      <c r="H307" s="3">
        <v>5804</v>
      </c>
      <c r="I307" s="3">
        <v>4.7E-2</v>
      </c>
      <c r="J307" s="3">
        <v>16</v>
      </c>
      <c r="K307" s="3">
        <f t="shared" si="24"/>
        <v>0</v>
      </c>
      <c r="L307" s="3">
        <f t="shared" si="25"/>
        <v>0</v>
      </c>
      <c r="M307" s="3">
        <f t="shared" si="26"/>
        <v>0</v>
      </c>
      <c r="N307" s="3">
        <v>86.9</v>
      </c>
      <c r="O307" s="3">
        <v>15.82</v>
      </c>
      <c r="P307" s="3">
        <v>0</v>
      </c>
      <c r="Q307" s="3">
        <v>3.8</v>
      </c>
      <c r="R307" s="3">
        <f t="shared" si="27"/>
        <v>0</v>
      </c>
      <c r="S307" s="3">
        <f t="shared" si="28"/>
        <v>1</v>
      </c>
      <c r="T307" s="3">
        <f t="shared" si="29"/>
        <v>0</v>
      </c>
    </row>
    <row r="308" spans="1:20">
      <c r="A308" s="3" t="s">
        <v>98</v>
      </c>
      <c r="B308" s="4">
        <v>45717</v>
      </c>
      <c r="C308" s="3" t="s">
        <v>24</v>
      </c>
      <c r="D308" s="3" t="s">
        <v>16</v>
      </c>
      <c r="E308" s="3">
        <v>665342.49</v>
      </c>
      <c r="F308" s="3">
        <v>93441.81</v>
      </c>
      <c r="G308" s="3">
        <v>22387.26</v>
      </c>
      <c r="H308" s="3">
        <v>6301</v>
      </c>
      <c r="I308" s="3">
        <v>0.14599999999999999</v>
      </c>
      <c r="J308" s="3">
        <v>14</v>
      </c>
      <c r="K308" s="3">
        <f t="shared" si="24"/>
        <v>0</v>
      </c>
      <c r="L308" s="3">
        <f t="shared" si="25"/>
        <v>0</v>
      </c>
      <c r="M308" s="3">
        <f t="shared" si="26"/>
        <v>0</v>
      </c>
      <c r="N308" s="3">
        <v>85.9</v>
      </c>
      <c r="O308" s="3">
        <v>1.17</v>
      </c>
      <c r="P308" s="3">
        <v>1</v>
      </c>
      <c r="Q308" s="3">
        <v>3.7</v>
      </c>
      <c r="R308" s="3">
        <f t="shared" si="27"/>
        <v>0</v>
      </c>
      <c r="S308" s="3">
        <f t="shared" si="28"/>
        <v>1</v>
      </c>
      <c r="T308" s="3">
        <f t="shared" si="29"/>
        <v>0</v>
      </c>
    </row>
    <row r="309" spans="1:20">
      <c r="A309" s="3" t="s">
        <v>98</v>
      </c>
      <c r="B309" s="4">
        <v>45748</v>
      </c>
      <c r="C309" s="3" t="s">
        <v>24</v>
      </c>
      <c r="D309" s="3" t="s">
        <v>16</v>
      </c>
      <c r="E309" s="3">
        <v>651164.18000000005</v>
      </c>
      <c r="F309" s="3">
        <v>109466.5</v>
      </c>
      <c r="G309" s="3">
        <v>60684.05</v>
      </c>
      <c r="H309" s="3">
        <v>6399</v>
      </c>
      <c r="I309" s="3">
        <v>7.4999999999999997E-2</v>
      </c>
      <c r="J309" s="3">
        <v>16</v>
      </c>
      <c r="K309" s="3">
        <f t="shared" si="24"/>
        <v>0</v>
      </c>
      <c r="L309" s="3">
        <f t="shared" si="25"/>
        <v>0</v>
      </c>
      <c r="M309" s="3">
        <f t="shared" si="26"/>
        <v>0</v>
      </c>
      <c r="N309" s="3">
        <v>99</v>
      </c>
      <c r="O309" s="3">
        <v>3.82</v>
      </c>
      <c r="P309" s="3">
        <v>0</v>
      </c>
      <c r="Q309" s="3">
        <v>3.5</v>
      </c>
      <c r="R309" s="3">
        <f t="shared" si="27"/>
        <v>0</v>
      </c>
      <c r="S309" s="3">
        <f t="shared" si="28"/>
        <v>1</v>
      </c>
      <c r="T309" s="3">
        <f t="shared" si="29"/>
        <v>0</v>
      </c>
    </row>
    <row r="310" spans="1:20">
      <c r="A310" s="3" t="s">
        <v>99</v>
      </c>
      <c r="B310" s="4">
        <v>45658</v>
      </c>
      <c r="C310" s="3" t="s">
        <v>24</v>
      </c>
      <c r="D310" s="3" t="s">
        <v>18</v>
      </c>
      <c r="E310" s="3">
        <v>628538.30000000005</v>
      </c>
      <c r="F310" s="3">
        <v>112509.15</v>
      </c>
      <c r="G310" s="3">
        <v>48465.599999999999</v>
      </c>
      <c r="H310" s="3">
        <v>5759</v>
      </c>
      <c r="I310" s="3">
        <v>0.154</v>
      </c>
      <c r="J310" s="3">
        <v>13</v>
      </c>
      <c r="K310" s="3">
        <f t="shared" si="24"/>
        <v>1</v>
      </c>
      <c r="L310" s="3">
        <f t="shared" si="25"/>
        <v>0</v>
      </c>
      <c r="M310" s="3">
        <f t="shared" si="26"/>
        <v>0</v>
      </c>
      <c r="N310" s="3">
        <v>87.5</v>
      </c>
      <c r="O310" s="3">
        <v>4.1399999999999997</v>
      </c>
      <c r="P310" s="3">
        <v>0</v>
      </c>
      <c r="Q310" s="3">
        <v>4</v>
      </c>
      <c r="R310" s="3">
        <f t="shared" si="27"/>
        <v>0</v>
      </c>
      <c r="S310" s="3">
        <f t="shared" si="28"/>
        <v>1</v>
      </c>
      <c r="T310" s="3">
        <f t="shared" si="29"/>
        <v>0</v>
      </c>
    </row>
    <row r="311" spans="1:20">
      <c r="A311" s="3" t="s">
        <v>99</v>
      </c>
      <c r="B311" s="4">
        <v>45689</v>
      </c>
      <c r="C311" s="3" t="s">
        <v>24</v>
      </c>
      <c r="D311" s="3" t="s">
        <v>18</v>
      </c>
      <c r="E311" s="3">
        <v>536524.84</v>
      </c>
      <c r="F311" s="3">
        <v>92752.94</v>
      </c>
      <c r="G311" s="3">
        <v>23702.38</v>
      </c>
      <c r="H311" s="3">
        <v>5285</v>
      </c>
      <c r="I311" s="3">
        <v>0.16700000000000001</v>
      </c>
      <c r="J311" s="3">
        <v>14</v>
      </c>
      <c r="K311" s="3">
        <f t="shared" si="24"/>
        <v>1</v>
      </c>
      <c r="L311" s="3">
        <f t="shared" si="25"/>
        <v>0</v>
      </c>
      <c r="M311" s="3">
        <f t="shared" si="26"/>
        <v>0</v>
      </c>
      <c r="N311" s="3">
        <v>79.7</v>
      </c>
      <c r="O311" s="3">
        <v>1.1000000000000001</v>
      </c>
      <c r="P311" s="3">
        <v>0</v>
      </c>
      <c r="Q311" s="3">
        <v>4.3</v>
      </c>
      <c r="R311" s="3">
        <f t="shared" si="27"/>
        <v>0</v>
      </c>
      <c r="S311" s="3">
        <f t="shared" si="28"/>
        <v>1</v>
      </c>
      <c r="T311" s="3">
        <f t="shared" si="29"/>
        <v>0</v>
      </c>
    </row>
    <row r="312" spans="1:20">
      <c r="A312" s="3" t="s">
        <v>99</v>
      </c>
      <c r="B312" s="4">
        <v>45717</v>
      </c>
      <c r="C312" s="3" t="s">
        <v>24</v>
      </c>
      <c r="D312" s="3" t="s">
        <v>18</v>
      </c>
      <c r="E312" s="3">
        <v>621677.30000000005</v>
      </c>
      <c r="F312" s="3">
        <v>105192.52</v>
      </c>
      <c r="G312" s="3">
        <v>54322.94</v>
      </c>
      <c r="H312" s="3">
        <v>5434</v>
      </c>
      <c r="I312" s="3">
        <v>0.2</v>
      </c>
      <c r="J312" s="3">
        <v>13</v>
      </c>
      <c r="K312" s="3">
        <f t="shared" si="24"/>
        <v>1</v>
      </c>
      <c r="L312" s="3">
        <f t="shared" si="25"/>
        <v>0</v>
      </c>
      <c r="M312" s="3">
        <f t="shared" si="26"/>
        <v>0</v>
      </c>
      <c r="N312" s="3">
        <v>85.7</v>
      </c>
      <c r="O312" s="3">
        <v>10.6</v>
      </c>
      <c r="P312" s="3">
        <v>0</v>
      </c>
      <c r="Q312" s="3">
        <v>4.2</v>
      </c>
      <c r="R312" s="3">
        <f t="shared" si="27"/>
        <v>0</v>
      </c>
      <c r="S312" s="3">
        <f t="shared" si="28"/>
        <v>1</v>
      </c>
      <c r="T312" s="3">
        <f t="shared" si="29"/>
        <v>0</v>
      </c>
    </row>
    <row r="313" spans="1:20">
      <c r="A313" s="3" t="s">
        <v>99</v>
      </c>
      <c r="B313" s="4">
        <v>45748</v>
      </c>
      <c r="C313" s="3" t="s">
        <v>24</v>
      </c>
      <c r="D313" s="3" t="s">
        <v>18</v>
      </c>
      <c r="E313" s="3">
        <v>771129.07</v>
      </c>
      <c r="F313" s="3">
        <v>116851.13</v>
      </c>
      <c r="G313" s="3">
        <v>86026.58</v>
      </c>
      <c r="H313" s="3">
        <v>7479</v>
      </c>
      <c r="I313" s="3">
        <v>0.14199999999999999</v>
      </c>
      <c r="J313" s="3">
        <v>20</v>
      </c>
      <c r="K313" s="3">
        <f t="shared" si="24"/>
        <v>1</v>
      </c>
      <c r="L313" s="3">
        <f t="shared" si="25"/>
        <v>0</v>
      </c>
      <c r="M313" s="3">
        <f t="shared" si="26"/>
        <v>0</v>
      </c>
      <c r="N313" s="3">
        <v>89</v>
      </c>
      <c r="O313" s="3">
        <v>0.9</v>
      </c>
      <c r="P313" s="3">
        <v>0</v>
      </c>
      <c r="Q313" s="5">
        <v>3.9</v>
      </c>
      <c r="R313" s="3">
        <f t="shared" si="27"/>
        <v>0</v>
      </c>
      <c r="S313" s="3">
        <f t="shared" si="28"/>
        <v>1</v>
      </c>
      <c r="T313" s="3">
        <f t="shared" si="29"/>
        <v>0</v>
      </c>
    </row>
    <row r="314" spans="1:20">
      <c r="A314" s="3" t="s">
        <v>100</v>
      </c>
      <c r="B314" s="4">
        <v>45658</v>
      </c>
      <c r="C314" s="3" t="s">
        <v>20</v>
      </c>
      <c r="D314" s="3" t="s">
        <v>16</v>
      </c>
      <c r="E314" s="3">
        <v>702052.47</v>
      </c>
      <c r="F314" s="3">
        <v>121732.51</v>
      </c>
      <c r="G314" s="3">
        <v>78967.520000000004</v>
      </c>
      <c r="H314" s="3">
        <v>6164</v>
      </c>
      <c r="I314" s="3">
        <v>2.1000000000000001E-2</v>
      </c>
      <c r="J314" s="3">
        <v>16</v>
      </c>
      <c r="K314" s="3">
        <f t="shared" si="24"/>
        <v>0</v>
      </c>
      <c r="L314" s="3">
        <f t="shared" si="25"/>
        <v>0</v>
      </c>
      <c r="M314" s="3">
        <f t="shared" si="26"/>
        <v>0</v>
      </c>
      <c r="N314" s="3">
        <v>85.5</v>
      </c>
      <c r="O314" s="3">
        <v>0.2</v>
      </c>
      <c r="P314" s="3">
        <v>0</v>
      </c>
      <c r="Q314" s="3">
        <v>3.4</v>
      </c>
      <c r="R314" s="3">
        <f t="shared" si="27"/>
        <v>0</v>
      </c>
      <c r="S314" s="3">
        <f t="shared" si="28"/>
        <v>0</v>
      </c>
      <c r="T314" s="3">
        <f t="shared" si="29"/>
        <v>0</v>
      </c>
    </row>
    <row r="315" spans="1:20">
      <c r="A315" s="3" t="s">
        <v>100</v>
      </c>
      <c r="B315" s="4">
        <v>45689</v>
      </c>
      <c r="C315" s="3" t="s">
        <v>20</v>
      </c>
      <c r="D315" s="3" t="s">
        <v>16</v>
      </c>
      <c r="E315" s="3">
        <v>688368.46</v>
      </c>
      <c r="F315" s="3">
        <v>93588.42</v>
      </c>
      <c r="G315" s="3">
        <v>46767.99</v>
      </c>
      <c r="H315" s="3">
        <v>7973</v>
      </c>
      <c r="I315" s="3">
        <v>0.183</v>
      </c>
      <c r="J315" s="3">
        <v>18</v>
      </c>
      <c r="K315" s="3">
        <f t="shared" si="24"/>
        <v>0</v>
      </c>
      <c r="L315" s="3">
        <f t="shared" si="25"/>
        <v>0</v>
      </c>
      <c r="M315" s="3">
        <f t="shared" si="26"/>
        <v>0</v>
      </c>
      <c r="N315" s="3">
        <v>94.8</v>
      </c>
      <c r="O315" s="3">
        <v>4.67</v>
      </c>
      <c r="P315" s="3">
        <v>0</v>
      </c>
      <c r="Q315" s="5">
        <v>3.9</v>
      </c>
      <c r="R315" s="3">
        <f t="shared" si="27"/>
        <v>0</v>
      </c>
      <c r="S315" s="3">
        <f t="shared" si="28"/>
        <v>0</v>
      </c>
      <c r="T315" s="3">
        <f t="shared" si="29"/>
        <v>0</v>
      </c>
    </row>
    <row r="316" spans="1:20">
      <c r="A316" s="3" t="s">
        <v>100</v>
      </c>
      <c r="B316" s="4">
        <v>45717</v>
      </c>
      <c r="C316" s="3" t="s">
        <v>20</v>
      </c>
      <c r="D316" s="3" t="s">
        <v>16</v>
      </c>
      <c r="E316" s="3">
        <v>712375.77</v>
      </c>
      <c r="F316" s="3">
        <v>104171.53</v>
      </c>
      <c r="G316" s="3">
        <v>62507.16</v>
      </c>
      <c r="H316" s="3">
        <v>6000</v>
      </c>
      <c r="I316" s="3">
        <v>9.0999999999999998E-2</v>
      </c>
      <c r="J316" s="3">
        <v>14</v>
      </c>
      <c r="K316" s="3">
        <f t="shared" si="24"/>
        <v>0</v>
      </c>
      <c r="L316" s="3">
        <f t="shared" si="25"/>
        <v>0</v>
      </c>
      <c r="M316" s="3">
        <f t="shared" si="26"/>
        <v>0</v>
      </c>
      <c r="N316" s="3">
        <v>98.2</v>
      </c>
      <c r="O316" s="3">
        <v>4.38</v>
      </c>
      <c r="P316" s="3">
        <v>1</v>
      </c>
      <c r="Q316" s="3">
        <v>3.9</v>
      </c>
      <c r="R316" s="3">
        <f t="shared" si="27"/>
        <v>0</v>
      </c>
      <c r="S316" s="3">
        <f t="shared" si="28"/>
        <v>0</v>
      </c>
      <c r="T316" s="3">
        <f t="shared" si="29"/>
        <v>0</v>
      </c>
    </row>
    <row r="317" spans="1:20">
      <c r="A317" s="3" t="s">
        <v>100</v>
      </c>
      <c r="B317" s="4">
        <v>45748</v>
      </c>
      <c r="C317" s="3" t="s">
        <v>20</v>
      </c>
      <c r="D317" s="3" t="s">
        <v>16</v>
      </c>
      <c r="E317" s="3">
        <v>844710.67</v>
      </c>
      <c r="F317" s="3">
        <v>137140.18</v>
      </c>
      <c r="G317" s="3">
        <v>66456.28</v>
      </c>
      <c r="H317" s="3">
        <v>9967</v>
      </c>
      <c r="I317" s="3">
        <v>0.108</v>
      </c>
      <c r="J317" s="3">
        <v>20</v>
      </c>
      <c r="K317" s="3">
        <f t="shared" si="24"/>
        <v>0</v>
      </c>
      <c r="L317" s="3">
        <f t="shared" si="25"/>
        <v>0</v>
      </c>
      <c r="M317" s="3">
        <f t="shared" si="26"/>
        <v>0</v>
      </c>
      <c r="N317" s="3">
        <v>94.7</v>
      </c>
      <c r="O317" s="3">
        <v>4.4800000000000004</v>
      </c>
      <c r="P317" s="3">
        <v>0</v>
      </c>
      <c r="Q317" s="3">
        <v>4.2</v>
      </c>
      <c r="R317" s="3">
        <f t="shared" si="27"/>
        <v>0</v>
      </c>
      <c r="S317" s="3">
        <f t="shared" si="28"/>
        <v>0</v>
      </c>
      <c r="T317" s="3">
        <f t="shared" si="29"/>
        <v>0</v>
      </c>
    </row>
    <row r="318" spans="1:20">
      <c r="A318" s="3" t="s">
        <v>101</v>
      </c>
      <c r="B318" s="4">
        <v>45658</v>
      </c>
      <c r="C318" s="3" t="s">
        <v>15</v>
      </c>
      <c r="D318" s="3" t="s">
        <v>16</v>
      </c>
      <c r="E318" s="3">
        <v>620264.19999999995</v>
      </c>
      <c r="F318" s="3">
        <v>91365.64</v>
      </c>
      <c r="G318" s="3">
        <v>76614.320000000007</v>
      </c>
      <c r="H318" s="3">
        <v>5639</v>
      </c>
      <c r="I318" s="3">
        <v>0.17399999999999999</v>
      </c>
      <c r="J318" s="3">
        <v>15</v>
      </c>
      <c r="K318" s="3">
        <f t="shared" si="24"/>
        <v>0</v>
      </c>
      <c r="L318" s="3">
        <f t="shared" si="25"/>
        <v>0</v>
      </c>
      <c r="M318" s="3">
        <f t="shared" si="26"/>
        <v>0</v>
      </c>
      <c r="N318" s="3">
        <v>92.9</v>
      </c>
      <c r="O318" s="3">
        <v>1.02</v>
      </c>
      <c r="P318" s="3">
        <v>1</v>
      </c>
      <c r="Q318" s="3">
        <v>4</v>
      </c>
      <c r="R318" s="3">
        <f t="shared" si="27"/>
        <v>1</v>
      </c>
      <c r="S318" s="3">
        <f t="shared" si="28"/>
        <v>0</v>
      </c>
      <c r="T318" s="3">
        <f t="shared" si="29"/>
        <v>0</v>
      </c>
    </row>
    <row r="319" spans="1:20">
      <c r="A319" s="3" t="s">
        <v>101</v>
      </c>
      <c r="B319" s="4">
        <v>45689</v>
      </c>
      <c r="C319" s="3" t="s">
        <v>15</v>
      </c>
      <c r="D319" s="3" t="s">
        <v>16</v>
      </c>
      <c r="E319" s="3">
        <v>536845.42000000004</v>
      </c>
      <c r="F319" s="3">
        <v>107473.75</v>
      </c>
      <c r="G319" s="3">
        <v>24088.06</v>
      </c>
      <c r="H319" s="3">
        <v>3466</v>
      </c>
      <c r="I319" s="3">
        <v>0</v>
      </c>
      <c r="J319" s="3">
        <v>11</v>
      </c>
      <c r="K319" s="3">
        <f t="shared" si="24"/>
        <v>0</v>
      </c>
      <c r="L319" s="3">
        <f t="shared" si="25"/>
        <v>0</v>
      </c>
      <c r="M319" s="3">
        <f t="shared" si="26"/>
        <v>0</v>
      </c>
      <c r="N319" s="3">
        <v>88</v>
      </c>
      <c r="O319" s="3">
        <v>0.2</v>
      </c>
      <c r="P319" s="3">
        <v>0</v>
      </c>
      <c r="Q319" s="3">
        <v>3.8</v>
      </c>
      <c r="R319" s="3">
        <f t="shared" si="27"/>
        <v>1</v>
      </c>
      <c r="S319" s="3">
        <f t="shared" si="28"/>
        <v>0</v>
      </c>
      <c r="T319" s="3">
        <f t="shared" si="29"/>
        <v>0</v>
      </c>
    </row>
    <row r="320" spans="1:20">
      <c r="A320" s="3" t="s">
        <v>101</v>
      </c>
      <c r="B320" s="4">
        <v>45717</v>
      </c>
      <c r="C320" s="3" t="s">
        <v>15</v>
      </c>
      <c r="D320" s="3" t="s">
        <v>16</v>
      </c>
      <c r="E320" s="3">
        <v>726776.22</v>
      </c>
      <c r="F320" s="3">
        <v>90804.49</v>
      </c>
      <c r="G320" s="3">
        <v>81902.58</v>
      </c>
      <c r="H320" s="3">
        <v>7775</v>
      </c>
      <c r="I320" s="3">
        <v>0.215</v>
      </c>
      <c r="J320" s="3">
        <v>20</v>
      </c>
      <c r="K320" s="3">
        <f t="shared" si="24"/>
        <v>0</v>
      </c>
      <c r="L320" s="3">
        <f t="shared" si="25"/>
        <v>0</v>
      </c>
      <c r="M320" s="3">
        <f t="shared" si="26"/>
        <v>0</v>
      </c>
      <c r="N320" s="3">
        <v>85.2</v>
      </c>
      <c r="O320" s="3">
        <v>4.8899999999999997</v>
      </c>
      <c r="P320" s="3">
        <v>1</v>
      </c>
      <c r="Q320" s="3">
        <v>4.2</v>
      </c>
      <c r="R320" s="3">
        <f t="shared" si="27"/>
        <v>1</v>
      </c>
      <c r="S320" s="3">
        <f t="shared" si="28"/>
        <v>0</v>
      </c>
      <c r="T320" s="3">
        <f t="shared" si="29"/>
        <v>0</v>
      </c>
    </row>
    <row r="321" spans="1:20">
      <c r="A321" s="3" t="s">
        <v>101</v>
      </c>
      <c r="B321" s="4">
        <v>45748</v>
      </c>
      <c r="C321" s="3" t="s">
        <v>15</v>
      </c>
      <c r="D321" s="3" t="s">
        <v>16</v>
      </c>
      <c r="E321" s="3">
        <v>559660.84</v>
      </c>
      <c r="F321" s="3">
        <v>71443.61</v>
      </c>
      <c r="G321" s="3">
        <v>40553.11</v>
      </c>
      <c r="H321" s="3">
        <v>5317</v>
      </c>
      <c r="I321" s="3">
        <v>0.16500000000000001</v>
      </c>
      <c r="J321" s="3">
        <v>17</v>
      </c>
      <c r="K321" s="3">
        <f t="shared" si="24"/>
        <v>0</v>
      </c>
      <c r="L321" s="3">
        <f t="shared" si="25"/>
        <v>0</v>
      </c>
      <c r="M321" s="3">
        <f t="shared" si="26"/>
        <v>0</v>
      </c>
      <c r="N321" s="3">
        <v>84.3</v>
      </c>
      <c r="O321" s="3">
        <v>11.82</v>
      </c>
      <c r="P321" s="3">
        <v>0</v>
      </c>
      <c r="Q321" s="3">
        <v>4.0999999999999996</v>
      </c>
      <c r="R321" s="3">
        <f t="shared" si="27"/>
        <v>1</v>
      </c>
      <c r="S321" s="3">
        <f t="shared" si="28"/>
        <v>0</v>
      </c>
      <c r="T321" s="3">
        <f t="shared" si="2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D2A5-3A99-44ED-84F4-1D02E73C38B4}">
  <dimension ref="A1:I24"/>
  <sheetViews>
    <sheetView workbookViewId="0">
      <selection activeCell="E20" sqref="E20"/>
    </sheetView>
  </sheetViews>
  <sheetFormatPr defaultRowHeight="13.8"/>
  <cols>
    <col min="1" max="1" width="18.296875" bestFit="1" customWidth="1"/>
    <col min="2" max="2" width="12.5" bestFit="1" customWidth="1"/>
    <col min="3" max="3" width="13.3984375" bestFit="1" customWidth="1"/>
    <col min="4" max="4" width="12.5" bestFit="1" customWidth="1"/>
    <col min="5" max="5" width="12.19921875" bestFit="1" customWidth="1"/>
    <col min="6" max="6" width="13.09765625" bestFit="1" customWidth="1"/>
    <col min="7" max="9" width="12.5" bestFit="1" customWidth="1"/>
  </cols>
  <sheetData>
    <row r="1" spans="1:9">
      <c r="A1" t="s">
        <v>108</v>
      </c>
    </row>
    <row r="2" spans="1:9" ht="14.4" thickBot="1"/>
    <row r="3" spans="1:9" ht="14.4">
      <c r="A3" s="10" t="s">
        <v>109</v>
      </c>
      <c r="B3" s="10"/>
    </row>
    <row r="4" spans="1:9">
      <c r="A4" s="7" t="s">
        <v>110</v>
      </c>
      <c r="B4" s="7">
        <v>0.89433797919939373</v>
      </c>
    </row>
    <row r="5" spans="1:9">
      <c r="A5" s="7" t="s">
        <v>111</v>
      </c>
      <c r="B5" s="7">
        <v>0.79984042103845521</v>
      </c>
    </row>
    <row r="6" spans="1:9">
      <c r="A6" s="7" t="s">
        <v>112</v>
      </c>
      <c r="B6" s="7">
        <v>0.79534966125406159</v>
      </c>
    </row>
    <row r="7" spans="1:9">
      <c r="A7" s="7" t="s">
        <v>113</v>
      </c>
      <c r="B7" s="7">
        <v>46944.52208556539</v>
      </c>
    </row>
    <row r="8" spans="1:9" ht="14.4" thickBot="1">
      <c r="A8" s="8" t="s">
        <v>114</v>
      </c>
      <c r="B8" s="8">
        <v>320</v>
      </c>
    </row>
    <row r="10" spans="1:9" ht="14.4" thickBot="1">
      <c r="A10" t="s">
        <v>115</v>
      </c>
    </row>
    <row r="11" spans="1:9" ht="14.4">
      <c r="A11" s="9"/>
      <c r="B11" s="9" t="s">
        <v>120</v>
      </c>
      <c r="C11" s="9" t="s">
        <v>121</v>
      </c>
      <c r="D11" s="9" t="s">
        <v>122</v>
      </c>
      <c r="E11" s="9" t="s">
        <v>123</v>
      </c>
      <c r="F11" s="9" t="s">
        <v>124</v>
      </c>
    </row>
    <row r="12" spans="1:9">
      <c r="A12" s="7" t="s">
        <v>116</v>
      </c>
      <c r="B12" s="7">
        <v>7</v>
      </c>
      <c r="C12" s="7">
        <v>2747586712791.9927</v>
      </c>
      <c r="D12" s="7">
        <v>392512387541.71326</v>
      </c>
      <c r="E12" s="7">
        <v>178.10803949435783</v>
      </c>
      <c r="F12" s="7">
        <v>5.5884631863792806E-105</v>
      </c>
    </row>
    <row r="13" spans="1:9">
      <c r="A13" s="7" t="s">
        <v>117</v>
      </c>
      <c r="B13" s="7">
        <v>312</v>
      </c>
      <c r="C13" s="7">
        <v>687581903998.7467</v>
      </c>
      <c r="D13" s="7">
        <v>2203788153.8421369</v>
      </c>
      <c r="E13" s="7"/>
      <c r="F13" s="7"/>
    </row>
    <row r="14" spans="1:9" ht="14.4" thickBot="1">
      <c r="A14" s="8" t="s">
        <v>118</v>
      </c>
      <c r="B14" s="8">
        <v>319</v>
      </c>
      <c r="C14" s="8">
        <v>3435168616790.7393</v>
      </c>
      <c r="D14" s="8"/>
      <c r="E14" s="8"/>
      <c r="F14" s="8"/>
    </row>
    <row r="15" spans="1:9" ht="14.4" thickBot="1"/>
    <row r="16" spans="1:9" ht="14.4">
      <c r="A16" s="9"/>
      <c r="B16" s="9" t="s">
        <v>125</v>
      </c>
      <c r="C16" s="9" t="s">
        <v>113</v>
      </c>
      <c r="D16" s="9" t="s">
        <v>126</v>
      </c>
      <c r="E16" s="9" t="s">
        <v>127</v>
      </c>
      <c r="F16" s="9" t="s">
        <v>128</v>
      </c>
      <c r="G16" s="9" t="s">
        <v>129</v>
      </c>
      <c r="H16" s="9" t="s">
        <v>130</v>
      </c>
      <c r="I16" s="9" t="s">
        <v>131</v>
      </c>
    </row>
    <row r="17" spans="1:9">
      <c r="A17" s="7" t="s">
        <v>119</v>
      </c>
      <c r="B17" s="7">
        <v>380861.97503551067</v>
      </c>
      <c r="C17" s="7">
        <v>13173.969626222864</v>
      </c>
      <c r="D17" s="7">
        <v>28.910190765690142</v>
      </c>
      <c r="E17" s="7">
        <v>2.9642825523059194E-90</v>
      </c>
      <c r="F17" s="7">
        <v>354940.91854226176</v>
      </c>
      <c r="G17" s="7">
        <v>406783.03152875957</v>
      </c>
      <c r="H17" s="7">
        <v>354940.91854226176</v>
      </c>
      <c r="I17" s="7">
        <v>406783.03152875957</v>
      </c>
    </row>
    <row r="18" spans="1:9">
      <c r="A18" s="7" t="s">
        <v>4</v>
      </c>
      <c r="B18" s="7">
        <v>1.1149852584124722</v>
      </c>
      <c r="C18" s="7">
        <v>0.13611089593176456</v>
      </c>
      <c r="D18" s="7">
        <v>8.191741379554502</v>
      </c>
      <c r="E18" s="7">
        <v>6.6989636501485208E-15</v>
      </c>
      <c r="F18" s="7">
        <v>0.8471739363208215</v>
      </c>
      <c r="G18" s="7">
        <v>1.3827965805041229</v>
      </c>
      <c r="H18" s="7">
        <v>0.8471739363208215</v>
      </c>
      <c r="I18" s="7">
        <v>1.3827965805041229</v>
      </c>
    </row>
    <row r="19" spans="1:9">
      <c r="A19" s="7" t="s">
        <v>5</v>
      </c>
      <c r="B19" s="7">
        <v>29.111153988965604</v>
      </c>
      <c r="C19" s="7">
        <v>2.6622419308348304</v>
      </c>
      <c r="D19" s="7">
        <v>10.934826640581413</v>
      </c>
      <c r="E19" s="7">
        <v>8.9072827597916893E-24</v>
      </c>
      <c r="F19" s="7">
        <v>23.872936090656147</v>
      </c>
      <c r="G19" s="7">
        <v>34.349371887275062</v>
      </c>
      <c r="H19" s="7">
        <v>23.872936090656147</v>
      </c>
      <c r="I19" s="7">
        <v>34.349371887275062</v>
      </c>
    </row>
    <row r="20" spans="1:9">
      <c r="A20" s="7" t="s">
        <v>6</v>
      </c>
      <c r="B20" s="7">
        <v>-82179.331813333527</v>
      </c>
      <c r="C20" s="7">
        <v>38818.860547353928</v>
      </c>
      <c r="D20" s="7">
        <v>-2.1169949517988944</v>
      </c>
      <c r="E20" s="7">
        <v>3.5051437327804039E-2</v>
      </c>
      <c r="F20" s="7">
        <v>-158559.18585889129</v>
      </c>
      <c r="G20" s="7">
        <v>-5799.4777677757811</v>
      </c>
      <c r="H20" s="7">
        <v>-158559.18585889129</v>
      </c>
      <c r="I20" s="7">
        <v>-5799.4777677757811</v>
      </c>
    </row>
    <row r="21" spans="1:9">
      <c r="A21" s="7" t="s">
        <v>7</v>
      </c>
      <c r="B21" s="7">
        <v>2460.1748729190786</v>
      </c>
      <c r="C21" s="7">
        <v>1349.5849327266096</v>
      </c>
      <c r="D21" s="7">
        <v>1.8229122252785592</v>
      </c>
      <c r="E21" s="7">
        <v>6.9273588603106534E-2</v>
      </c>
      <c r="F21" s="7">
        <v>-195.2637136411031</v>
      </c>
      <c r="G21" s="7">
        <v>5115.6134594792602</v>
      </c>
      <c r="H21" s="7">
        <v>-195.2637136411031</v>
      </c>
      <c r="I21" s="7">
        <v>5115.6134594792602</v>
      </c>
    </row>
    <row r="22" spans="1:9">
      <c r="A22" s="7" t="s">
        <v>107</v>
      </c>
      <c r="B22" s="7">
        <v>17099.184133289167</v>
      </c>
      <c r="C22" s="7">
        <v>6456.8689262027474</v>
      </c>
      <c r="D22" s="7">
        <v>2.6482160825502636</v>
      </c>
      <c r="E22" s="7">
        <v>8.5031964841426472E-3</v>
      </c>
      <c r="F22" s="7">
        <v>4394.6714500007311</v>
      </c>
      <c r="G22" s="7">
        <v>29803.696816577605</v>
      </c>
      <c r="H22" s="7">
        <v>4394.6714500007311</v>
      </c>
      <c r="I22" s="7">
        <v>29803.696816577605</v>
      </c>
    </row>
    <row r="23" spans="1:9">
      <c r="A23" s="7" t="s">
        <v>105</v>
      </c>
      <c r="B23" s="7">
        <v>35613.768816500626</v>
      </c>
      <c r="C23" s="7">
        <v>10066.218440811936</v>
      </c>
      <c r="D23" s="7">
        <v>3.5379491341167477</v>
      </c>
      <c r="E23" s="7">
        <v>4.6452793118450283E-4</v>
      </c>
      <c r="F23" s="7">
        <v>15807.512670418917</v>
      </c>
      <c r="G23" s="7">
        <v>55420.024962582334</v>
      </c>
      <c r="H23" s="7">
        <v>15807.512670418917</v>
      </c>
      <c r="I23" s="7">
        <v>55420.024962582334</v>
      </c>
    </row>
    <row r="24" spans="1:9" ht="14.4" thickBot="1">
      <c r="A24" s="8" t="s">
        <v>106</v>
      </c>
      <c r="B24" s="8">
        <v>26173.484535007996</v>
      </c>
      <c r="C24" s="8">
        <v>7153.6506884172732</v>
      </c>
      <c r="D24" s="8">
        <v>3.6587590972797153</v>
      </c>
      <c r="E24" s="8">
        <v>2.9744993179094836E-4</v>
      </c>
      <c r="F24" s="8">
        <v>12097.986496942583</v>
      </c>
      <c r="G24" s="8">
        <v>40248.982573073408</v>
      </c>
      <c r="H24" s="8">
        <v>12097.986496942583</v>
      </c>
      <c r="I24" s="8">
        <v>40248.982573073408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6D92-5409-4AEF-9507-F2C53E8B7185}">
  <dimension ref="B2:F39"/>
  <sheetViews>
    <sheetView topLeftCell="A22" workbookViewId="0">
      <selection activeCell="O25" sqref="O25"/>
    </sheetView>
  </sheetViews>
  <sheetFormatPr defaultRowHeight="13.8"/>
  <cols>
    <col min="2" max="2" width="17.296875" bestFit="1" customWidth="1"/>
    <col min="3" max="3" width="14.8984375" customWidth="1"/>
    <col min="4" max="4" width="11" bestFit="1" customWidth="1"/>
    <col min="5" max="5" width="40.3984375" customWidth="1"/>
    <col min="6" max="6" width="17.69921875" bestFit="1" customWidth="1"/>
  </cols>
  <sheetData>
    <row r="2" spans="3:5">
      <c r="C2" s="42" t="s">
        <v>154</v>
      </c>
      <c r="D2" s="42"/>
      <c r="E2" s="42"/>
    </row>
    <row r="3" spans="3:5">
      <c r="C3" s="44"/>
      <c r="D3" s="44"/>
      <c r="E3" s="44"/>
    </row>
    <row r="4" spans="3:5">
      <c r="C4" s="42" t="s">
        <v>157</v>
      </c>
      <c r="D4" s="42"/>
      <c r="E4" s="42"/>
    </row>
    <row r="5" spans="3:5">
      <c r="C5" s="21" t="s">
        <v>144</v>
      </c>
      <c r="D5" s="21" t="s">
        <v>145</v>
      </c>
      <c r="E5" s="22" t="s">
        <v>146</v>
      </c>
    </row>
    <row r="6" spans="3:5" ht="27.6">
      <c r="C6" s="3" t="s">
        <v>110</v>
      </c>
      <c r="D6" s="3">
        <v>0.89429999999999998</v>
      </c>
      <c r="E6" s="18" t="s">
        <v>147</v>
      </c>
    </row>
    <row r="7" spans="3:5" ht="27.6">
      <c r="C7" s="3" t="s">
        <v>148</v>
      </c>
      <c r="D7" s="3">
        <v>0.79979999999999996</v>
      </c>
      <c r="E7" s="18" t="s">
        <v>149</v>
      </c>
    </row>
    <row r="8" spans="3:5" ht="41.4">
      <c r="C8" s="3" t="s">
        <v>150</v>
      </c>
      <c r="D8" s="3">
        <v>0.79530000000000001</v>
      </c>
      <c r="E8" s="18" t="s">
        <v>151</v>
      </c>
    </row>
    <row r="9" spans="3:5" ht="27.6">
      <c r="C9" s="3" t="s">
        <v>124</v>
      </c>
      <c r="D9" s="3" t="s">
        <v>152</v>
      </c>
      <c r="E9" s="18" t="s">
        <v>153</v>
      </c>
    </row>
    <row r="12" spans="3:5" ht="15.6">
      <c r="C12" s="46" t="s">
        <v>119</v>
      </c>
      <c r="D12" s="47"/>
      <c r="E12" s="48"/>
    </row>
    <row r="13" spans="3:5" ht="15.6">
      <c r="C13" s="14"/>
      <c r="D13" s="31"/>
      <c r="E13" s="31"/>
    </row>
    <row r="14" spans="3:5" ht="15.6">
      <c r="C14" s="24" t="s">
        <v>139</v>
      </c>
      <c r="D14" s="32">
        <v>380861.98</v>
      </c>
      <c r="E14" s="31"/>
    </row>
    <row r="15" spans="3:5" ht="15.6">
      <c r="C15" s="14"/>
      <c r="D15" s="31"/>
      <c r="E15" s="31"/>
    </row>
    <row r="16" spans="3:5" ht="15.6">
      <c r="C16" s="24" t="s">
        <v>127</v>
      </c>
      <c r="D16" s="31" t="s">
        <v>156</v>
      </c>
      <c r="E16" s="31"/>
    </row>
    <row r="17" spans="2:6" ht="15.6">
      <c r="C17" s="14"/>
      <c r="D17" s="31"/>
      <c r="E17" s="31"/>
    </row>
    <row r="18" spans="2:6" ht="78.599999999999994" customHeight="1">
      <c r="C18" s="23" t="s">
        <v>146</v>
      </c>
      <c r="D18" s="43" t="s">
        <v>155</v>
      </c>
      <c r="E18" s="43"/>
    </row>
    <row r="19" spans="2:6" ht="15.6">
      <c r="C19" s="12"/>
    </row>
    <row r="22" spans="2:6" ht="21" customHeight="1">
      <c r="B22" s="25" t="s">
        <v>158</v>
      </c>
      <c r="C22" s="25" t="s">
        <v>139</v>
      </c>
      <c r="D22" s="25" t="s">
        <v>127</v>
      </c>
      <c r="E22" s="25" t="s">
        <v>146</v>
      </c>
      <c r="F22" s="27" t="s">
        <v>169</v>
      </c>
    </row>
    <row r="23" spans="2:6" ht="48.6" customHeight="1">
      <c r="B23" s="28" t="s">
        <v>159</v>
      </c>
      <c r="C23" s="26">
        <v>1.115</v>
      </c>
      <c r="D23" s="29">
        <v>6.7E-15</v>
      </c>
      <c r="E23" s="26" t="s">
        <v>167</v>
      </c>
      <c r="F23" s="26" t="s">
        <v>165</v>
      </c>
    </row>
    <row r="24" spans="2:6" ht="57.6">
      <c r="B24" s="28" t="s">
        <v>160</v>
      </c>
      <c r="C24" s="26">
        <v>29.11</v>
      </c>
      <c r="D24" s="29">
        <v>8.9099999999999994E-24</v>
      </c>
      <c r="E24" s="26" t="s">
        <v>168</v>
      </c>
      <c r="F24" s="26" t="s">
        <v>165</v>
      </c>
    </row>
    <row r="25" spans="2:6" ht="64.2" customHeight="1">
      <c r="B25" s="28" t="s">
        <v>161</v>
      </c>
      <c r="C25" s="30">
        <v>-82179.33</v>
      </c>
      <c r="D25" s="26">
        <v>3.5000000000000003E-2</v>
      </c>
      <c r="E25" s="26" t="s">
        <v>162</v>
      </c>
      <c r="F25" s="26" t="s">
        <v>165</v>
      </c>
    </row>
    <row r="26" spans="2:6" ht="43.2">
      <c r="B26" s="28" t="s">
        <v>163</v>
      </c>
      <c r="C26" s="30">
        <v>2460.17</v>
      </c>
      <c r="D26" s="26">
        <v>6.9000000000000006E-2</v>
      </c>
      <c r="E26" s="26" t="s">
        <v>164</v>
      </c>
      <c r="F26" s="26" t="s">
        <v>166</v>
      </c>
    </row>
    <row r="27" spans="2:6" ht="28.8">
      <c r="B27" s="28" t="s">
        <v>107</v>
      </c>
      <c r="C27" s="30">
        <v>17099.18</v>
      </c>
      <c r="D27" s="26">
        <v>8.5000000000000006E-3</v>
      </c>
      <c r="E27" s="26" t="s">
        <v>170</v>
      </c>
      <c r="F27" s="26" t="s">
        <v>165</v>
      </c>
    </row>
    <row r="28" spans="2:6" ht="28.8">
      <c r="B28" s="28" t="s">
        <v>105</v>
      </c>
      <c r="C28" s="30">
        <v>35613.769999999997</v>
      </c>
      <c r="D28" s="26">
        <v>4.6000000000000001E-4</v>
      </c>
      <c r="E28" s="26" t="s">
        <v>171</v>
      </c>
      <c r="F28" s="26" t="s">
        <v>165</v>
      </c>
    </row>
    <row r="29" spans="2:6" ht="28.8">
      <c r="B29" s="28" t="s">
        <v>106</v>
      </c>
      <c r="C29" s="30">
        <v>26173.48</v>
      </c>
      <c r="D29" s="26">
        <v>2.9999999999999997E-4</v>
      </c>
      <c r="E29" s="26" t="s">
        <v>172</v>
      </c>
      <c r="F29" s="26" t="s">
        <v>165</v>
      </c>
    </row>
    <row r="31" spans="2:6" ht="14.4">
      <c r="B31" s="45" t="s">
        <v>176</v>
      </c>
      <c r="C31" s="45"/>
    </row>
    <row r="32" spans="2:6" ht="14.4">
      <c r="B32" s="25" t="s">
        <v>158</v>
      </c>
      <c r="C32" s="25" t="s">
        <v>173</v>
      </c>
    </row>
    <row r="33" spans="2:3" ht="14.4">
      <c r="B33" s="26" t="s">
        <v>159</v>
      </c>
      <c r="C33" s="26" t="s">
        <v>174</v>
      </c>
    </row>
    <row r="34" spans="2:3" ht="14.4">
      <c r="B34" s="26" t="s">
        <v>160</v>
      </c>
      <c r="C34" s="26" t="s">
        <v>174</v>
      </c>
    </row>
    <row r="35" spans="2:3" ht="14.4">
      <c r="B35" s="26" t="s">
        <v>161</v>
      </c>
      <c r="C35" s="26" t="s">
        <v>175</v>
      </c>
    </row>
    <row r="36" spans="2:3" ht="14.4">
      <c r="B36" s="26" t="s">
        <v>163</v>
      </c>
      <c r="C36" s="26" t="s">
        <v>174</v>
      </c>
    </row>
    <row r="37" spans="2:3" ht="14.4">
      <c r="B37" s="26" t="s">
        <v>107</v>
      </c>
      <c r="C37" s="26" t="s">
        <v>174</v>
      </c>
    </row>
    <row r="38" spans="2:3" ht="14.4">
      <c r="B38" s="26" t="s">
        <v>105</v>
      </c>
      <c r="C38" s="26" t="s">
        <v>174</v>
      </c>
    </row>
    <row r="39" spans="2:3" ht="14.4">
      <c r="B39" s="26" t="s">
        <v>106</v>
      </c>
      <c r="C39" s="26" t="s">
        <v>174</v>
      </c>
    </row>
  </sheetData>
  <mergeCells count="6">
    <mergeCell ref="C2:E2"/>
    <mergeCell ref="D18:E18"/>
    <mergeCell ref="C3:E3"/>
    <mergeCell ref="C4:E4"/>
    <mergeCell ref="B31:C31"/>
    <mergeCell ref="C12:E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705B-C436-4834-9B30-9BAE64CC5D21}">
  <dimension ref="A1:I31"/>
  <sheetViews>
    <sheetView workbookViewId="0">
      <selection activeCell="I7" sqref="I7"/>
    </sheetView>
  </sheetViews>
  <sheetFormatPr defaultRowHeight="13.8"/>
  <cols>
    <col min="1" max="1" width="21.19921875" bestFit="1" customWidth="1"/>
    <col min="2" max="2" width="12.5" bestFit="1" customWidth="1"/>
    <col min="3" max="3" width="13.3984375" bestFit="1" customWidth="1"/>
    <col min="4" max="4" width="12.5" bestFit="1" customWidth="1"/>
    <col min="5" max="5" width="12.19921875" bestFit="1" customWidth="1"/>
    <col min="6" max="6" width="13.09765625" bestFit="1" customWidth="1"/>
    <col min="7" max="7" width="11.8984375" bestFit="1" customWidth="1"/>
    <col min="8" max="8" width="12.5" bestFit="1" customWidth="1"/>
    <col min="9" max="9" width="12" bestFit="1" customWidth="1"/>
  </cols>
  <sheetData>
    <row r="1" spans="1:9">
      <c r="A1" t="s">
        <v>108</v>
      </c>
    </row>
    <row r="2" spans="1:9" ht="14.4" thickBot="1"/>
    <row r="3" spans="1:9" ht="14.4">
      <c r="A3" s="10" t="s">
        <v>109</v>
      </c>
      <c r="B3" s="10"/>
    </row>
    <row r="4" spans="1:9">
      <c r="A4" s="7" t="s">
        <v>110</v>
      </c>
      <c r="B4" s="7">
        <v>0.92564759585555645</v>
      </c>
    </row>
    <row r="5" spans="1:9">
      <c r="A5" s="7" t="s">
        <v>111</v>
      </c>
      <c r="B5" s="7">
        <v>0.85682347171317164</v>
      </c>
    </row>
    <row r="6" spans="1:9">
      <c r="A6" s="7" t="s">
        <v>112</v>
      </c>
      <c r="B6" s="7">
        <v>0.85025143434918615</v>
      </c>
    </row>
    <row r="7" spans="1:9">
      <c r="A7" s="7" t="s">
        <v>113</v>
      </c>
      <c r="B7" s="7">
        <v>40156.885640785142</v>
      </c>
    </row>
    <row r="8" spans="1:9" ht="14.4" thickBot="1">
      <c r="A8" s="8" t="s">
        <v>114</v>
      </c>
      <c r="B8" s="8">
        <v>320</v>
      </c>
    </row>
    <row r="10" spans="1:9" ht="14.4" thickBot="1">
      <c r="A10" t="s">
        <v>115</v>
      </c>
    </row>
    <row r="11" spans="1:9" ht="14.4">
      <c r="A11" s="9"/>
      <c r="B11" s="9" t="s">
        <v>120</v>
      </c>
      <c r="C11" s="9" t="s">
        <v>121</v>
      </c>
      <c r="D11" s="9" t="s">
        <v>122</v>
      </c>
      <c r="E11" s="9" t="s">
        <v>123</v>
      </c>
      <c r="F11" s="9" t="s">
        <v>124</v>
      </c>
    </row>
    <row r="12" spans="1:9">
      <c r="A12" s="7" t="s">
        <v>116</v>
      </c>
      <c r="B12" s="7">
        <v>14</v>
      </c>
      <c r="C12" s="7">
        <v>2943333100158.7749</v>
      </c>
      <c r="D12" s="7">
        <v>210238078582.76962</v>
      </c>
      <c r="E12" s="7">
        <v>130.37410231544354</v>
      </c>
      <c r="F12" s="7">
        <v>1.4856055055321708E-119</v>
      </c>
    </row>
    <row r="13" spans="1:9">
      <c r="A13" s="7" t="s">
        <v>117</v>
      </c>
      <c r="B13" s="7">
        <v>305</v>
      </c>
      <c r="C13" s="7">
        <v>491835516631.96429</v>
      </c>
      <c r="D13" s="7">
        <v>1612575464.3670959</v>
      </c>
      <c r="E13" s="7"/>
      <c r="F13" s="7"/>
    </row>
    <row r="14" spans="1:9" ht="14.4" thickBot="1">
      <c r="A14" s="8" t="s">
        <v>118</v>
      </c>
      <c r="B14" s="8">
        <v>319</v>
      </c>
      <c r="C14" s="8">
        <v>3435168616790.7393</v>
      </c>
      <c r="D14" s="8"/>
      <c r="E14" s="8"/>
      <c r="F14" s="8"/>
    </row>
    <row r="15" spans="1:9" ht="14.4" thickBot="1"/>
    <row r="16" spans="1:9" ht="14.4">
      <c r="A16" s="9"/>
      <c r="B16" s="9" t="s">
        <v>125</v>
      </c>
      <c r="C16" s="9" t="s">
        <v>113</v>
      </c>
      <c r="D16" s="9" t="s">
        <v>126</v>
      </c>
      <c r="E16" s="9" t="s">
        <v>127</v>
      </c>
      <c r="F16" s="9" t="s">
        <v>128</v>
      </c>
      <c r="G16" s="9" t="s">
        <v>129</v>
      </c>
      <c r="H16" s="9" t="s">
        <v>130</v>
      </c>
      <c r="I16" s="9" t="s">
        <v>131</v>
      </c>
    </row>
    <row r="17" spans="1:9">
      <c r="A17" s="7" t="s">
        <v>119</v>
      </c>
      <c r="B17" s="7">
        <v>51995.668990398233</v>
      </c>
      <c r="C17" s="7">
        <v>46165.814822736022</v>
      </c>
      <c r="D17" s="7">
        <v>1.1262807596930162</v>
      </c>
      <c r="E17" s="7">
        <v>0.26093209013139079</v>
      </c>
      <c r="F17" s="7">
        <v>-38848.145143368791</v>
      </c>
      <c r="G17" s="7">
        <v>142839.48312416527</v>
      </c>
      <c r="H17" s="7">
        <v>-38848.145143368791</v>
      </c>
      <c r="I17" s="7">
        <v>142839.48312416527</v>
      </c>
    </row>
    <row r="18" spans="1:9">
      <c r="A18" s="7" t="s">
        <v>4</v>
      </c>
      <c r="B18" s="7">
        <v>1.2077524572842373</v>
      </c>
      <c r="C18" s="7">
        <v>0.11699153730355372</v>
      </c>
      <c r="D18" s="7">
        <v>10.323417275478016</v>
      </c>
      <c r="E18" s="7">
        <v>1.2631676419595475E-21</v>
      </c>
      <c r="F18" s="7">
        <v>0.97753974446120739</v>
      </c>
      <c r="G18" s="7">
        <v>1.4379651701072671</v>
      </c>
      <c r="H18" s="7">
        <v>0.97753974446120739</v>
      </c>
      <c r="I18" s="7">
        <v>1.4379651701072671</v>
      </c>
    </row>
    <row r="19" spans="1:9">
      <c r="A19" s="7" t="s">
        <v>5</v>
      </c>
      <c r="B19" s="7">
        <v>27.377517070938374</v>
      </c>
      <c r="C19" s="7">
        <v>2.3074581141465242</v>
      </c>
      <c r="D19" s="7">
        <v>11.864794816032745</v>
      </c>
      <c r="E19" s="7">
        <v>5.9230049846010881E-27</v>
      </c>
      <c r="F19" s="7">
        <v>22.836964784623149</v>
      </c>
      <c r="G19" s="7">
        <v>31.9180693572536</v>
      </c>
      <c r="H19" s="7">
        <v>22.836964784623149</v>
      </c>
      <c r="I19" s="7">
        <v>31.9180693572536</v>
      </c>
    </row>
    <row r="20" spans="1:9">
      <c r="A20" s="7" t="s">
        <v>6</v>
      </c>
      <c r="B20" s="7">
        <v>-41682.569041029914</v>
      </c>
      <c r="C20" s="7">
        <v>33892.444591734376</v>
      </c>
      <c r="D20" s="7">
        <v>-1.2298484084914718</v>
      </c>
      <c r="E20" s="7">
        <v>0.21970168116673486</v>
      </c>
      <c r="F20" s="7">
        <v>-108375.18453699189</v>
      </c>
      <c r="G20" s="7">
        <v>25010.04645493206</v>
      </c>
      <c r="H20" s="7">
        <v>-108375.18453699189</v>
      </c>
      <c r="I20" s="7">
        <v>25010.04645493206</v>
      </c>
    </row>
    <row r="21" spans="1:9">
      <c r="A21" s="7" t="s">
        <v>7</v>
      </c>
      <c r="B21" s="7">
        <v>3482.6055174466974</v>
      </c>
      <c r="C21" s="7">
        <v>1162.3116529439335</v>
      </c>
      <c r="D21" s="7">
        <v>2.9962751458491037</v>
      </c>
      <c r="E21" s="7">
        <v>2.9573200115195898E-3</v>
      </c>
      <c r="F21" s="7">
        <v>1195.4407794044437</v>
      </c>
      <c r="G21" s="7">
        <v>5769.7702554889511</v>
      </c>
      <c r="H21" s="7">
        <v>1195.4407794044437</v>
      </c>
      <c r="I21" s="7">
        <v>5769.7702554889511</v>
      </c>
    </row>
    <row r="22" spans="1:9">
      <c r="A22" s="7" t="s">
        <v>107</v>
      </c>
      <c r="B22" s="7">
        <v>20376.531314580679</v>
      </c>
      <c r="C22" s="7">
        <v>5568.8608316685768</v>
      </c>
      <c r="D22" s="7">
        <v>3.6590124857681774</v>
      </c>
      <c r="E22" s="7">
        <v>2.9823250287176832E-4</v>
      </c>
      <c r="F22" s="7">
        <v>9418.2809236492394</v>
      </c>
      <c r="G22" s="7">
        <v>31334.78170551212</v>
      </c>
      <c r="H22" s="7">
        <v>9418.2809236492394</v>
      </c>
      <c r="I22" s="7">
        <v>31334.78170551212</v>
      </c>
    </row>
    <row r="23" spans="1:9">
      <c r="A23" s="7" t="s">
        <v>105</v>
      </c>
      <c r="B23" s="7">
        <v>44679.29508436039</v>
      </c>
      <c r="C23" s="7">
        <v>8753.7724184533054</v>
      </c>
      <c r="D23" s="7">
        <v>5.1040046449202441</v>
      </c>
      <c r="E23" s="7">
        <v>5.8616894297420392E-7</v>
      </c>
      <c r="F23" s="7">
        <v>27453.863721246431</v>
      </c>
      <c r="G23" s="7">
        <v>61904.72644747435</v>
      </c>
      <c r="H23" s="7">
        <v>27453.863721246431</v>
      </c>
      <c r="I23" s="7">
        <v>61904.72644747435</v>
      </c>
    </row>
    <row r="24" spans="1:9">
      <c r="A24" s="7" t="s">
        <v>106</v>
      </c>
      <c r="B24" s="7">
        <v>32865.496217156549</v>
      </c>
      <c r="C24" s="7">
        <v>6162.3633624688018</v>
      </c>
      <c r="D24" s="7">
        <v>5.3332616536895969</v>
      </c>
      <c r="E24" s="7">
        <v>1.8824014791872163E-7</v>
      </c>
      <c r="F24" s="7">
        <v>20739.367953756948</v>
      </c>
      <c r="G24" s="7">
        <v>44991.624480556151</v>
      </c>
      <c r="H24" s="7">
        <v>20739.367953756948</v>
      </c>
      <c r="I24" s="7">
        <v>44991.624480556151</v>
      </c>
    </row>
    <row r="25" spans="1:9">
      <c r="A25" s="7" t="s">
        <v>8</v>
      </c>
      <c r="B25" s="7">
        <v>3060.2786263782227</v>
      </c>
      <c r="C25" s="7">
        <v>426.35324864526928</v>
      </c>
      <c r="D25" s="7">
        <v>7.1778006526330218</v>
      </c>
      <c r="E25" s="7">
        <v>5.4232090353857568E-12</v>
      </c>
      <c r="F25" s="7">
        <v>2221.3124904185938</v>
      </c>
      <c r="G25" s="7">
        <v>3899.2447623378516</v>
      </c>
      <c r="H25" s="7">
        <v>2221.3124904185938</v>
      </c>
      <c r="I25" s="7">
        <v>3899.2447623378516</v>
      </c>
    </row>
    <row r="26" spans="1:9">
      <c r="A26" s="7" t="s">
        <v>9</v>
      </c>
      <c r="B26" s="7">
        <v>-3424.4406625004485</v>
      </c>
      <c r="C26" s="7">
        <v>540.77982128389283</v>
      </c>
      <c r="D26" s="7">
        <v>-6.3324120607353844</v>
      </c>
      <c r="E26" s="7">
        <v>8.6277277975903679E-10</v>
      </c>
      <c r="F26" s="7">
        <v>-4488.5722447250428</v>
      </c>
      <c r="G26" s="7">
        <v>-2360.3090802758543</v>
      </c>
      <c r="H26" s="7">
        <v>-4488.5722447250428</v>
      </c>
      <c r="I26" s="7">
        <v>-2360.3090802758543</v>
      </c>
    </row>
    <row r="27" spans="1:9">
      <c r="A27" s="7" t="s">
        <v>10</v>
      </c>
      <c r="B27" s="7">
        <v>15080.219340032858</v>
      </c>
      <c r="C27" s="7">
        <v>6131.2054789139029</v>
      </c>
      <c r="D27" s="7">
        <v>2.4595847247161915</v>
      </c>
      <c r="E27" s="7">
        <v>1.4464512842523114E-2</v>
      </c>
      <c r="F27" s="7">
        <v>3015.4026985190885</v>
      </c>
      <c r="G27" s="7">
        <v>27145.035981546629</v>
      </c>
      <c r="H27" s="7">
        <v>3015.4026985190885</v>
      </c>
      <c r="I27" s="7">
        <v>27145.035981546629</v>
      </c>
    </row>
    <row r="28" spans="1:9">
      <c r="A28" s="7" t="s">
        <v>11</v>
      </c>
      <c r="B28" s="7">
        <v>12521.765593743859</v>
      </c>
      <c r="C28" s="7">
        <v>4451.3928763154017</v>
      </c>
      <c r="D28" s="7">
        <v>2.8129994232521289</v>
      </c>
      <c r="E28" s="7">
        <v>5.2266741058067953E-3</v>
      </c>
      <c r="F28" s="7">
        <v>3762.4377524594747</v>
      </c>
      <c r="G28" s="7">
        <v>21281.093435028244</v>
      </c>
      <c r="H28" s="7">
        <v>3762.4377524594747</v>
      </c>
      <c r="I28" s="7">
        <v>21281.093435028244</v>
      </c>
    </row>
    <row r="29" spans="1:9">
      <c r="A29" s="7" t="s">
        <v>102</v>
      </c>
      <c r="B29" s="7">
        <v>-9933.9926562345154</v>
      </c>
      <c r="C29" s="7">
        <v>6571.1201575618688</v>
      </c>
      <c r="D29" s="7">
        <v>-1.5117654856459659</v>
      </c>
      <c r="E29" s="7">
        <v>0.13162892882373667</v>
      </c>
      <c r="F29" s="7">
        <v>-22864.461240755478</v>
      </c>
      <c r="G29" s="7">
        <v>2996.475928286447</v>
      </c>
      <c r="H29" s="7">
        <v>-22864.461240755478</v>
      </c>
      <c r="I29" s="7">
        <v>2996.475928286447</v>
      </c>
    </row>
    <row r="30" spans="1:9">
      <c r="A30" s="7" t="s">
        <v>103</v>
      </c>
      <c r="B30" s="7">
        <v>11114.685640658921</v>
      </c>
      <c r="C30" s="7">
        <v>7435.1713217130718</v>
      </c>
      <c r="D30" s="7">
        <v>1.4948795609054084</v>
      </c>
      <c r="E30" s="7">
        <v>0.13597977239658299</v>
      </c>
      <c r="F30" s="7">
        <v>-3516.03893760137</v>
      </c>
      <c r="G30" s="7">
        <v>25745.410218919213</v>
      </c>
      <c r="H30" s="7">
        <v>-3516.03893760137</v>
      </c>
      <c r="I30" s="7">
        <v>25745.410218919213</v>
      </c>
    </row>
    <row r="31" spans="1:9" ht="14.4" thickBot="1">
      <c r="A31" s="8" t="s">
        <v>104</v>
      </c>
      <c r="B31" s="8">
        <v>15325.737623008297</v>
      </c>
      <c r="C31" s="8">
        <v>6676.5737572537655</v>
      </c>
      <c r="D31" s="8">
        <v>2.295449459591103</v>
      </c>
      <c r="E31" s="8">
        <v>2.2385799967644913E-2</v>
      </c>
      <c r="F31" s="8">
        <v>2187.7603603251246</v>
      </c>
      <c r="G31" s="8">
        <v>28463.714885691472</v>
      </c>
      <c r="H31" s="8">
        <v>2187.7603603251246</v>
      </c>
      <c r="I31" s="8">
        <v>28463.714885691472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18541-3087-49AD-972B-D12E4FCBD058}">
  <dimension ref="A1:N321"/>
  <sheetViews>
    <sheetView workbookViewId="0">
      <selection activeCell="M13" sqref="M13"/>
    </sheetView>
  </sheetViews>
  <sheetFormatPr defaultRowHeight="13.8"/>
  <cols>
    <col min="1" max="1" width="9.19921875" bestFit="1" customWidth="1"/>
    <col min="2" max="2" width="13.796875" bestFit="1" customWidth="1"/>
    <col min="3" max="3" width="16.19921875" bestFit="1" customWidth="1"/>
    <col min="4" max="4" width="6.8984375" bestFit="1" customWidth="1"/>
    <col min="5" max="5" width="16.3984375" bestFit="1" customWidth="1"/>
    <col min="6" max="6" width="10.59765625" bestFit="1" customWidth="1"/>
    <col min="7" max="7" width="16.3984375" bestFit="1" customWidth="1"/>
    <col min="8" max="8" width="12.296875" bestFit="1" customWidth="1"/>
    <col min="9" max="9" width="10.296875" bestFit="1" customWidth="1"/>
    <col min="10" max="10" width="15" bestFit="1" customWidth="1"/>
    <col min="12" max="12" width="13.59765625" bestFit="1" customWidth="1"/>
  </cols>
  <sheetData>
    <row r="1" spans="1:14">
      <c r="A1" s="2" t="s">
        <v>0</v>
      </c>
      <c r="B1" s="2" t="s">
        <v>12</v>
      </c>
      <c r="C1" s="2" t="s">
        <v>4</v>
      </c>
      <c r="D1" s="2" t="s">
        <v>5</v>
      </c>
      <c r="E1" s="2" t="s">
        <v>6</v>
      </c>
      <c r="F1" s="2" t="s">
        <v>7</v>
      </c>
      <c r="G1" s="6" t="s">
        <v>107</v>
      </c>
      <c r="H1" s="6" t="s">
        <v>105</v>
      </c>
      <c r="I1" s="6" t="s">
        <v>106</v>
      </c>
      <c r="J1" s="6" t="s">
        <v>177</v>
      </c>
      <c r="K1" s="6" t="s">
        <v>117</v>
      </c>
      <c r="L1" s="6" t="s">
        <v>146</v>
      </c>
      <c r="N1" s="7"/>
    </row>
    <row r="2" spans="1:14">
      <c r="A2" s="3" t="s">
        <v>33</v>
      </c>
      <c r="B2" s="3">
        <v>595467.6</v>
      </c>
      <c r="C2" s="3">
        <v>138855.51</v>
      </c>
      <c r="D2" s="3">
        <v>5145</v>
      </c>
      <c r="E2" s="3">
        <v>0.06</v>
      </c>
      <c r="F2" s="3">
        <v>17</v>
      </c>
      <c r="G2" s="3">
        <v>0</v>
      </c>
      <c r="H2" s="3">
        <v>0</v>
      </c>
      <c r="I2" s="3">
        <v>0</v>
      </c>
      <c r="J2" s="3">
        <f t="shared" ref="J2:J65" si="0">380861.975+(1.114985*C2)+(29.111154*D2)-(82179.332*E2)+(2460.175*F2)+(17099.184*G2)+(35613.769*H2)+(26173.485*I2)</f>
        <v>722352.88822735008</v>
      </c>
      <c r="K2" s="3">
        <f t="shared" ref="K2:K65" si="1">B2-J2</f>
        <v>-126885.2882273501</v>
      </c>
      <c r="L2" s="1" t="str">
        <f t="shared" ref="L2:L65" si="2">IF(K2&lt;0,"over-predicted","under-predicted")</f>
        <v>over-predicted</v>
      </c>
      <c r="N2" s="7"/>
    </row>
    <row r="3" spans="1:14">
      <c r="A3" s="3" t="s">
        <v>44</v>
      </c>
      <c r="B3" s="3">
        <v>627171.9</v>
      </c>
      <c r="C3" s="3">
        <v>141540.29</v>
      </c>
      <c r="D3" s="3">
        <v>5400</v>
      </c>
      <c r="E3" s="3">
        <v>1.2999999999999999E-2</v>
      </c>
      <c r="F3" s="3">
        <v>12</v>
      </c>
      <c r="G3" s="3">
        <v>0</v>
      </c>
      <c r="H3" s="3">
        <v>0</v>
      </c>
      <c r="I3" s="3">
        <v>1</v>
      </c>
      <c r="J3" s="3">
        <f t="shared" si="0"/>
        <v>750504.76052965003</v>
      </c>
      <c r="K3" s="3">
        <f t="shared" si="1"/>
        <v>-123332.86052965</v>
      </c>
      <c r="L3" s="1" t="str">
        <f t="shared" si="2"/>
        <v>over-predicted</v>
      </c>
      <c r="N3" s="7"/>
    </row>
    <row r="4" spans="1:14">
      <c r="A4" s="3" t="s">
        <v>38</v>
      </c>
      <c r="B4" s="3">
        <v>685379.08</v>
      </c>
      <c r="C4" s="3">
        <v>79346.100000000006</v>
      </c>
      <c r="D4" s="3">
        <v>9628</v>
      </c>
      <c r="E4" s="3">
        <v>0.10199999999999999</v>
      </c>
      <c r="F4" s="3">
        <v>20</v>
      </c>
      <c r="G4" s="3">
        <v>1</v>
      </c>
      <c r="H4" s="3">
        <v>0</v>
      </c>
      <c r="I4" s="3">
        <v>0</v>
      </c>
      <c r="J4" s="3">
        <f t="shared" si="0"/>
        <v>807534.2691565</v>
      </c>
      <c r="K4" s="3">
        <f t="shared" si="1"/>
        <v>-122155.18915650004</v>
      </c>
      <c r="L4" s="1" t="str">
        <f t="shared" si="2"/>
        <v>over-predicted</v>
      </c>
      <c r="N4" s="7"/>
    </row>
    <row r="5" spans="1:14">
      <c r="A5" s="3" t="s">
        <v>30</v>
      </c>
      <c r="B5" s="3">
        <v>641865.03</v>
      </c>
      <c r="C5" s="3">
        <v>54597.83</v>
      </c>
      <c r="D5" s="3">
        <v>9429</v>
      </c>
      <c r="E5" s="3">
        <v>0.188</v>
      </c>
      <c r="F5" s="3">
        <v>21</v>
      </c>
      <c r="G5" s="3">
        <v>0</v>
      </c>
      <c r="H5" s="3">
        <v>0</v>
      </c>
      <c r="I5" s="3">
        <v>0</v>
      </c>
      <c r="J5" s="3">
        <f t="shared" si="0"/>
        <v>752440.76813255006</v>
      </c>
      <c r="K5" s="3">
        <f t="shared" si="1"/>
        <v>-110575.73813255003</v>
      </c>
      <c r="L5" s="1" t="str">
        <f t="shared" si="2"/>
        <v>over-predicted</v>
      </c>
      <c r="N5" s="7"/>
    </row>
    <row r="6" spans="1:14">
      <c r="A6" s="3" t="s">
        <v>14</v>
      </c>
      <c r="B6" s="3">
        <v>658920.30000000005</v>
      </c>
      <c r="C6" s="3">
        <v>56856.63</v>
      </c>
      <c r="D6" s="3">
        <v>9431</v>
      </c>
      <c r="E6" s="3">
        <v>0.14199999999999999</v>
      </c>
      <c r="F6" s="3">
        <v>23</v>
      </c>
      <c r="G6" s="3">
        <v>0</v>
      </c>
      <c r="H6" s="3">
        <v>0</v>
      </c>
      <c r="I6" s="3">
        <v>0</v>
      </c>
      <c r="J6" s="3">
        <f t="shared" si="0"/>
        <v>763718.11783054995</v>
      </c>
      <c r="K6" s="3">
        <f t="shared" si="1"/>
        <v>-104797.8178305499</v>
      </c>
      <c r="L6" s="1" t="str">
        <f t="shared" si="2"/>
        <v>over-predicted</v>
      </c>
      <c r="N6" s="7"/>
    </row>
    <row r="7" spans="1:14">
      <c r="A7" s="3" t="s">
        <v>35</v>
      </c>
      <c r="B7" s="3">
        <v>463534.25</v>
      </c>
      <c r="C7" s="3">
        <v>53015.46</v>
      </c>
      <c r="D7" s="3">
        <v>3279</v>
      </c>
      <c r="E7" s="3">
        <v>8.6999999999999994E-2</v>
      </c>
      <c r="F7" s="3">
        <v>9</v>
      </c>
      <c r="G7" s="3">
        <v>1</v>
      </c>
      <c r="H7" s="3">
        <v>0</v>
      </c>
      <c r="I7" s="3">
        <v>0</v>
      </c>
      <c r="J7" s="3">
        <f t="shared" si="0"/>
        <v>567520.04875009996</v>
      </c>
      <c r="K7" s="3">
        <f t="shared" si="1"/>
        <v>-103985.79875009996</v>
      </c>
      <c r="L7" s="1" t="str">
        <f t="shared" si="2"/>
        <v>over-predicted</v>
      </c>
      <c r="N7" s="7"/>
    </row>
    <row r="8" spans="1:14">
      <c r="A8" s="3" t="s">
        <v>56</v>
      </c>
      <c r="B8" s="3">
        <v>633638.03</v>
      </c>
      <c r="C8" s="3">
        <v>71320.66</v>
      </c>
      <c r="D8" s="3">
        <v>7888</v>
      </c>
      <c r="E8" s="3">
        <v>4.8000000000000001E-2</v>
      </c>
      <c r="F8" s="3">
        <v>20</v>
      </c>
      <c r="G8" s="3">
        <v>0</v>
      </c>
      <c r="H8" s="3">
        <v>0</v>
      </c>
      <c r="I8" s="3">
        <v>0</v>
      </c>
      <c r="J8" s="3">
        <f t="shared" si="0"/>
        <v>735271.11590610002</v>
      </c>
      <c r="K8" s="3">
        <f t="shared" si="1"/>
        <v>-101633.08590609999</v>
      </c>
      <c r="L8" s="1" t="str">
        <f t="shared" si="2"/>
        <v>over-predicted</v>
      </c>
      <c r="N8" s="7"/>
    </row>
    <row r="9" spans="1:14">
      <c r="A9" s="3" t="s">
        <v>26</v>
      </c>
      <c r="B9" s="3">
        <v>800451.94</v>
      </c>
      <c r="C9" s="3">
        <v>172415.52</v>
      </c>
      <c r="D9" s="3">
        <v>8927</v>
      </c>
      <c r="E9" s="3">
        <v>0.14000000000000001</v>
      </c>
      <c r="F9" s="3">
        <v>22</v>
      </c>
      <c r="G9" s="3">
        <v>0</v>
      </c>
      <c r="H9" s="3">
        <v>0</v>
      </c>
      <c r="I9" s="3">
        <v>1</v>
      </c>
      <c r="J9" s="3">
        <f t="shared" si="0"/>
        <v>901770.1938452</v>
      </c>
      <c r="K9" s="3">
        <f t="shared" si="1"/>
        <v>-101318.25384520006</v>
      </c>
      <c r="L9" s="1" t="str">
        <f t="shared" si="2"/>
        <v>over-predicted</v>
      </c>
      <c r="N9" s="7"/>
    </row>
    <row r="10" spans="1:14">
      <c r="A10" s="3" t="s">
        <v>98</v>
      </c>
      <c r="B10" s="3">
        <v>538376</v>
      </c>
      <c r="C10" s="3">
        <v>46146.239999999998</v>
      </c>
      <c r="D10" s="3">
        <v>5804</v>
      </c>
      <c r="E10" s="3">
        <v>4.7E-2</v>
      </c>
      <c r="F10" s="3">
        <v>16</v>
      </c>
      <c r="G10" s="3">
        <v>0</v>
      </c>
      <c r="H10" s="3">
        <v>0</v>
      </c>
      <c r="I10" s="3">
        <v>0</v>
      </c>
      <c r="J10" s="3">
        <f t="shared" si="0"/>
        <v>636775.84961839998</v>
      </c>
      <c r="K10" s="3">
        <f t="shared" si="1"/>
        <v>-98399.849618399981</v>
      </c>
      <c r="L10" s="1" t="str">
        <f t="shared" si="2"/>
        <v>over-predicted</v>
      </c>
    </row>
    <row r="11" spans="1:14">
      <c r="A11" s="3" t="s">
        <v>89</v>
      </c>
      <c r="B11" s="3">
        <v>593343</v>
      </c>
      <c r="C11" s="3">
        <v>29344.93</v>
      </c>
      <c r="D11" s="3">
        <v>7446</v>
      </c>
      <c r="E11" s="3">
        <v>0.111</v>
      </c>
      <c r="F11" s="3">
        <v>15</v>
      </c>
      <c r="G11" s="3">
        <v>0</v>
      </c>
      <c r="H11" s="3">
        <v>0</v>
      </c>
      <c r="I11" s="3">
        <v>1</v>
      </c>
      <c r="J11" s="3">
        <f t="shared" si="0"/>
        <v>684296.98860804993</v>
      </c>
      <c r="K11" s="3">
        <f t="shared" si="1"/>
        <v>-90953.988608049927</v>
      </c>
      <c r="L11" s="1" t="str">
        <f t="shared" si="2"/>
        <v>over-predicted</v>
      </c>
    </row>
    <row r="12" spans="1:14">
      <c r="A12" s="3" t="s">
        <v>14</v>
      </c>
      <c r="B12" s="3">
        <v>634436</v>
      </c>
      <c r="C12" s="3">
        <v>43827.89</v>
      </c>
      <c r="D12" s="3">
        <v>8487</v>
      </c>
      <c r="E12" s="3">
        <v>0.16800000000000001</v>
      </c>
      <c r="F12" s="3">
        <v>23</v>
      </c>
      <c r="G12" s="3">
        <v>0</v>
      </c>
      <c r="H12" s="3">
        <v>0</v>
      </c>
      <c r="I12" s="3">
        <v>0</v>
      </c>
      <c r="J12" s="3">
        <f t="shared" si="0"/>
        <v>719573.67615365004</v>
      </c>
      <c r="K12" s="3">
        <f t="shared" si="1"/>
        <v>-85137.676153650042</v>
      </c>
      <c r="L12" s="1" t="str">
        <f t="shared" si="2"/>
        <v>over-predicted</v>
      </c>
    </row>
    <row r="13" spans="1:14">
      <c r="A13" s="3" t="s">
        <v>74</v>
      </c>
      <c r="B13" s="3">
        <v>691288.19</v>
      </c>
      <c r="C13" s="3">
        <v>62949.7</v>
      </c>
      <c r="D13" s="3">
        <v>9458</v>
      </c>
      <c r="E13" s="3">
        <v>0.17100000000000001</v>
      </c>
      <c r="F13" s="3">
        <v>19</v>
      </c>
      <c r="G13" s="3">
        <v>1</v>
      </c>
      <c r="H13" s="3">
        <v>0</v>
      </c>
      <c r="I13" s="3">
        <v>0</v>
      </c>
      <c r="J13" s="3">
        <f t="shared" si="0"/>
        <v>776173.08401449991</v>
      </c>
      <c r="K13" s="3">
        <f t="shared" si="1"/>
        <v>-84884.894014499965</v>
      </c>
      <c r="L13" s="1" t="str">
        <f t="shared" si="2"/>
        <v>over-predicted</v>
      </c>
    </row>
    <row r="14" spans="1:14">
      <c r="A14" s="3" t="s">
        <v>25</v>
      </c>
      <c r="B14" s="3">
        <v>415721.82</v>
      </c>
      <c r="C14" s="3">
        <v>30356.28</v>
      </c>
      <c r="D14" s="3">
        <v>2822</v>
      </c>
      <c r="E14" s="3">
        <v>0.23100000000000001</v>
      </c>
      <c r="F14" s="3">
        <v>9</v>
      </c>
      <c r="G14" s="3">
        <v>0</v>
      </c>
      <c r="H14" s="3">
        <v>0</v>
      </c>
      <c r="I14" s="3">
        <v>0</v>
      </c>
      <c r="J14" s="3">
        <f t="shared" si="0"/>
        <v>500018.59775179997</v>
      </c>
      <c r="K14" s="3">
        <f t="shared" si="1"/>
        <v>-84296.777751799964</v>
      </c>
      <c r="L14" s="1" t="str">
        <f t="shared" si="2"/>
        <v>over-predicted</v>
      </c>
    </row>
    <row r="15" spans="1:14">
      <c r="A15" s="3" t="s">
        <v>73</v>
      </c>
      <c r="B15" s="3">
        <v>671868.59</v>
      </c>
      <c r="C15" s="3">
        <v>37983.35</v>
      </c>
      <c r="D15" s="3">
        <v>9283</v>
      </c>
      <c r="E15" s="3">
        <v>0.14899999999999999</v>
      </c>
      <c r="F15" s="3">
        <v>19</v>
      </c>
      <c r="G15" s="3">
        <v>0</v>
      </c>
      <c r="H15" s="3">
        <v>0</v>
      </c>
      <c r="I15" s="3">
        <v>1</v>
      </c>
      <c r="J15" s="3">
        <f t="shared" si="0"/>
        <v>754123.77261374996</v>
      </c>
      <c r="K15" s="3">
        <f t="shared" si="1"/>
        <v>-82255.182613749988</v>
      </c>
      <c r="L15" s="1" t="str">
        <f t="shared" si="2"/>
        <v>over-predicted</v>
      </c>
    </row>
    <row r="16" spans="1:14">
      <c r="A16" s="3" t="s">
        <v>36</v>
      </c>
      <c r="B16" s="3">
        <v>500298.48</v>
      </c>
      <c r="C16" s="3">
        <v>59405.68</v>
      </c>
      <c r="D16" s="3">
        <v>2515</v>
      </c>
      <c r="E16" s="3">
        <v>3.9E-2</v>
      </c>
      <c r="F16" s="3">
        <v>12</v>
      </c>
      <c r="G16" s="3">
        <v>0</v>
      </c>
      <c r="H16" s="3">
        <v>1</v>
      </c>
      <c r="I16" s="3">
        <v>0</v>
      </c>
      <c r="J16" s="3">
        <f t="shared" si="0"/>
        <v>582243.84447679995</v>
      </c>
      <c r="K16" s="3">
        <f t="shared" si="1"/>
        <v>-81945.364476799965</v>
      </c>
      <c r="L16" s="1" t="str">
        <f t="shared" si="2"/>
        <v>over-predicted</v>
      </c>
    </row>
    <row r="17" spans="1:12">
      <c r="A17" s="3" t="s">
        <v>72</v>
      </c>
      <c r="B17" s="3">
        <v>607084.92000000004</v>
      </c>
      <c r="C17" s="3">
        <v>35203.230000000003</v>
      </c>
      <c r="D17" s="3">
        <v>6896</v>
      </c>
      <c r="E17" s="3">
        <v>3.2000000000000001E-2</v>
      </c>
      <c r="F17" s="3">
        <v>14</v>
      </c>
      <c r="G17" s="3">
        <v>0</v>
      </c>
      <c r="H17" s="3">
        <v>1</v>
      </c>
      <c r="I17" s="3">
        <v>0</v>
      </c>
      <c r="J17" s="3">
        <f t="shared" si="0"/>
        <v>688290.04676154989</v>
      </c>
      <c r="K17" s="3">
        <f t="shared" si="1"/>
        <v>-81205.126761549851</v>
      </c>
      <c r="L17" s="1" t="str">
        <f t="shared" si="2"/>
        <v>over-predicted</v>
      </c>
    </row>
    <row r="18" spans="1:12">
      <c r="A18" s="3" t="s">
        <v>14</v>
      </c>
      <c r="B18" s="3">
        <v>658832.62</v>
      </c>
      <c r="C18" s="3">
        <v>70389.11</v>
      </c>
      <c r="D18" s="3">
        <v>8302</v>
      </c>
      <c r="E18" s="3">
        <v>4.2000000000000003E-2</v>
      </c>
      <c r="F18" s="3">
        <v>17</v>
      </c>
      <c r="G18" s="3">
        <v>0</v>
      </c>
      <c r="H18" s="3">
        <v>0</v>
      </c>
      <c r="I18" s="3">
        <v>0</v>
      </c>
      <c r="J18" s="3">
        <f t="shared" si="0"/>
        <v>739397.02037734992</v>
      </c>
      <c r="K18" s="3">
        <f t="shared" si="1"/>
        <v>-80564.400377349928</v>
      </c>
      <c r="L18" s="1" t="str">
        <f t="shared" si="2"/>
        <v>over-predicted</v>
      </c>
    </row>
    <row r="19" spans="1:12">
      <c r="A19" s="3" t="s">
        <v>29</v>
      </c>
      <c r="B19" s="3">
        <v>511844.41</v>
      </c>
      <c r="C19" s="3">
        <v>68600.62</v>
      </c>
      <c r="D19" s="3">
        <v>3988</v>
      </c>
      <c r="E19" s="3">
        <v>0.124</v>
      </c>
      <c r="F19" s="3">
        <v>11</v>
      </c>
      <c r="G19" s="3">
        <v>0</v>
      </c>
      <c r="H19" s="3">
        <v>0</v>
      </c>
      <c r="I19" s="3">
        <v>0</v>
      </c>
      <c r="J19" s="3">
        <f t="shared" si="0"/>
        <v>590317.60727470007</v>
      </c>
      <c r="K19" s="3">
        <f t="shared" si="1"/>
        <v>-78473.197274700098</v>
      </c>
      <c r="L19" s="1" t="str">
        <f t="shared" si="2"/>
        <v>over-predicted</v>
      </c>
    </row>
    <row r="20" spans="1:12">
      <c r="A20" s="3" t="s">
        <v>55</v>
      </c>
      <c r="B20" s="3">
        <v>400831.65</v>
      </c>
      <c r="C20" s="3">
        <v>22071.64</v>
      </c>
      <c r="D20" s="3">
        <v>1814</v>
      </c>
      <c r="E20" s="3">
        <v>0.19600000000000001</v>
      </c>
      <c r="F20" s="3">
        <v>8</v>
      </c>
      <c r="G20" s="3">
        <v>1</v>
      </c>
      <c r="H20" s="3">
        <v>0</v>
      </c>
      <c r="I20" s="3">
        <v>0</v>
      </c>
      <c r="J20" s="3">
        <f t="shared" si="0"/>
        <v>478952.59080940002</v>
      </c>
      <c r="K20" s="3">
        <f t="shared" si="1"/>
        <v>-78120.940809399995</v>
      </c>
      <c r="L20" s="1" t="str">
        <f t="shared" si="2"/>
        <v>over-predicted</v>
      </c>
    </row>
    <row r="21" spans="1:12">
      <c r="A21" s="3" t="s">
        <v>36</v>
      </c>
      <c r="B21" s="3">
        <v>553756.43000000005</v>
      </c>
      <c r="C21" s="3">
        <v>52952.12</v>
      </c>
      <c r="D21" s="3">
        <v>4377</v>
      </c>
      <c r="E21" s="3">
        <v>9.1999999999999998E-2</v>
      </c>
      <c r="F21" s="3">
        <v>14</v>
      </c>
      <c r="G21" s="3">
        <v>0</v>
      </c>
      <c r="H21" s="3">
        <v>1</v>
      </c>
      <c r="I21" s="3">
        <v>0</v>
      </c>
      <c r="J21" s="3">
        <f t="shared" si="0"/>
        <v>629818.03603219998</v>
      </c>
      <c r="K21" s="3">
        <f t="shared" si="1"/>
        <v>-76061.606032199925</v>
      </c>
      <c r="L21" s="1" t="str">
        <f t="shared" si="2"/>
        <v>over-predicted</v>
      </c>
    </row>
    <row r="22" spans="1:12">
      <c r="A22" s="3" t="s">
        <v>52</v>
      </c>
      <c r="B22" s="3">
        <v>509484.81</v>
      </c>
      <c r="C22" s="3">
        <v>43896.13</v>
      </c>
      <c r="D22" s="3">
        <v>3853</v>
      </c>
      <c r="E22" s="3">
        <v>8.7999999999999995E-2</v>
      </c>
      <c r="F22" s="3">
        <v>13</v>
      </c>
      <c r="G22" s="3">
        <v>1</v>
      </c>
      <c r="H22" s="3">
        <v>0</v>
      </c>
      <c r="I22" s="3">
        <v>0</v>
      </c>
      <c r="J22" s="3">
        <f t="shared" si="0"/>
        <v>583820.45565404999</v>
      </c>
      <c r="K22" s="3">
        <f t="shared" si="1"/>
        <v>-74335.645654049993</v>
      </c>
      <c r="L22" s="1" t="str">
        <f t="shared" si="2"/>
        <v>over-predicted</v>
      </c>
    </row>
    <row r="23" spans="1:12">
      <c r="A23" s="3" t="s">
        <v>64</v>
      </c>
      <c r="B23" s="3">
        <v>593637.14</v>
      </c>
      <c r="C23" s="3">
        <v>32834.480000000003</v>
      </c>
      <c r="D23" s="3">
        <v>7576</v>
      </c>
      <c r="E23" s="3">
        <v>9.9000000000000005E-2</v>
      </c>
      <c r="F23" s="3">
        <v>15</v>
      </c>
      <c r="G23" s="3">
        <v>0</v>
      </c>
      <c r="H23" s="3">
        <v>0</v>
      </c>
      <c r="I23" s="3">
        <v>0</v>
      </c>
      <c r="J23" s="3">
        <f t="shared" si="0"/>
        <v>666784.90151879995</v>
      </c>
      <c r="K23" s="3">
        <f t="shared" si="1"/>
        <v>-73147.761518799933</v>
      </c>
      <c r="L23" s="1" t="str">
        <f t="shared" si="2"/>
        <v>over-predicted</v>
      </c>
    </row>
    <row r="24" spans="1:12">
      <c r="A24" s="3" t="s">
        <v>14</v>
      </c>
      <c r="B24" s="3">
        <v>678722.06</v>
      </c>
      <c r="C24" s="3">
        <v>59921.75</v>
      </c>
      <c r="D24" s="3">
        <v>9113</v>
      </c>
      <c r="E24" s="3">
        <v>0.13300000000000001</v>
      </c>
      <c r="F24" s="3">
        <v>20</v>
      </c>
      <c r="G24" s="3">
        <v>0</v>
      </c>
      <c r="H24" s="3">
        <v>0</v>
      </c>
      <c r="I24" s="3">
        <v>0</v>
      </c>
      <c r="J24" s="3">
        <f t="shared" si="0"/>
        <v>751237.42266974994</v>
      </c>
      <c r="K24" s="3">
        <f t="shared" si="1"/>
        <v>-72515.362669749884</v>
      </c>
      <c r="L24" s="1" t="str">
        <f t="shared" si="2"/>
        <v>over-predicted</v>
      </c>
    </row>
    <row r="25" spans="1:12">
      <c r="A25" s="3" t="s">
        <v>96</v>
      </c>
      <c r="B25" s="3">
        <v>401582.58</v>
      </c>
      <c r="C25" s="3">
        <v>24362.98</v>
      </c>
      <c r="D25" s="3">
        <v>1462</v>
      </c>
      <c r="E25" s="3">
        <v>0.11700000000000001</v>
      </c>
      <c r="F25" s="3">
        <v>6</v>
      </c>
      <c r="G25" s="3">
        <v>1</v>
      </c>
      <c r="H25" s="3">
        <v>0</v>
      </c>
      <c r="I25" s="3">
        <v>0</v>
      </c>
      <c r="J25" s="3">
        <f t="shared" si="0"/>
        <v>472832.09155929997</v>
      </c>
      <c r="K25" s="3">
        <f t="shared" si="1"/>
        <v>-71249.51155929995</v>
      </c>
      <c r="L25" s="1" t="str">
        <f t="shared" si="2"/>
        <v>over-predicted</v>
      </c>
    </row>
    <row r="26" spans="1:12">
      <c r="A26" s="3" t="s">
        <v>73</v>
      </c>
      <c r="B26" s="3">
        <v>675917.63</v>
      </c>
      <c r="C26" s="3">
        <v>56413.83</v>
      </c>
      <c r="D26" s="3">
        <v>8303</v>
      </c>
      <c r="E26" s="3">
        <v>0.11600000000000001</v>
      </c>
      <c r="F26" s="3">
        <v>18</v>
      </c>
      <c r="G26" s="3">
        <v>0</v>
      </c>
      <c r="H26" s="3">
        <v>0</v>
      </c>
      <c r="I26" s="3">
        <v>1</v>
      </c>
      <c r="J26" s="3">
        <f t="shared" si="0"/>
        <v>746396.29339255008</v>
      </c>
      <c r="K26" s="3">
        <f t="shared" si="1"/>
        <v>-70478.663392550079</v>
      </c>
      <c r="L26" s="1" t="str">
        <f t="shared" si="2"/>
        <v>over-predicted</v>
      </c>
    </row>
    <row r="27" spans="1:12">
      <c r="A27" s="3" t="s">
        <v>81</v>
      </c>
      <c r="B27" s="3">
        <v>721079.35</v>
      </c>
      <c r="C27" s="3">
        <v>46495.4</v>
      </c>
      <c r="D27" s="3">
        <v>9908</v>
      </c>
      <c r="E27" s="3">
        <v>0.121</v>
      </c>
      <c r="F27" s="3">
        <v>22</v>
      </c>
      <c r="G27" s="3">
        <v>0</v>
      </c>
      <c r="H27" s="3">
        <v>0</v>
      </c>
      <c r="I27" s="3">
        <v>1</v>
      </c>
      <c r="J27" s="3">
        <f t="shared" si="0"/>
        <v>791490.59822899988</v>
      </c>
      <c r="K27" s="3">
        <f t="shared" si="1"/>
        <v>-70411.248228999902</v>
      </c>
      <c r="L27" s="1" t="str">
        <f t="shared" si="2"/>
        <v>over-predicted</v>
      </c>
    </row>
    <row r="28" spans="1:12">
      <c r="A28" s="3" t="s">
        <v>70</v>
      </c>
      <c r="B28" s="3">
        <v>449465.06</v>
      </c>
      <c r="C28" s="3">
        <v>41657.64</v>
      </c>
      <c r="D28" s="3">
        <v>3135</v>
      </c>
      <c r="E28" s="3">
        <v>0.22900000000000001</v>
      </c>
      <c r="F28" s="3">
        <v>7</v>
      </c>
      <c r="G28" s="3">
        <v>0</v>
      </c>
      <c r="H28" s="3">
        <v>0</v>
      </c>
      <c r="I28" s="3">
        <v>0</v>
      </c>
      <c r="J28" s="3">
        <f t="shared" si="0"/>
        <v>516975.24449739989</v>
      </c>
      <c r="K28" s="3">
        <f t="shared" si="1"/>
        <v>-67510.184497399896</v>
      </c>
      <c r="L28" s="1" t="str">
        <f t="shared" si="2"/>
        <v>over-predicted</v>
      </c>
    </row>
    <row r="29" spans="1:12">
      <c r="A29" s="3" t="s">
        <v>89</v>
      </c>
      <c r="B29" s="3">
        <v>660633.99</v>
      </c>
      <c r="C29" s="3">
        <v>48752.92</v>
      </c>
      <c r="D29" s="3">
        <v>8052</v>
      </c>
      <c r="E29" s="3">
        <v>0.106</v>
      </c>
      <c r="F29" s="3">
        <v>16</v>
      </c>
      <c r="G29" s="3">
        <v>0</v>
      </c>
      <c r="H29" s="3">
        <v>0</v>
      </c>
      <c r="I29" s="3">
        <v>1</v>
      </c>
      <c r="J29" s="3">
        <f t="shared" si="0"/>
        <v>726449.0373221999</v>
      </c>
      <c r="K29" s="3">
        <f t="shared" si="1"/>
        <v>-65815.047322199913</v>
      </c>
      <c r="L29" s="1" t="str">
        <f t="shared" si="2"/>
        <v>over-predicted</v>
      </c>
    </row>
    <row r="30" spans="1:12">
      <c r="A30" s="3" t="s">
        <v>79</v>
      </c>
      <c r="B30" s="3">
        <v>570963.31000000006</v>
      </c>
      <c r="C30" s="3">
        <v>37324.230000000003</v>
      </c>
      <c r="D30" s="3">
        <v>5957</v>
      </c>
      <c r="E30" s="3">
        <v>7.0999999999999994E-2</v>
      </c>
      <c r="F30" s="3">
        <v>12</v>
      </c>
      <c r="G30" s="3">
        <v>1</v>
      </c>
      <c r="H30" s="3">
        <v>0</v>
      </c>
      <c r="I30" s="3">
        <v>0</v>
      </c>
      <c r="J30" s="3">
        <f t="shared" si="0"/>
        <v>636679.62739255</v>
      </c>
      <c r="K30" s="3">
        <f t="shared" si="1"/>
        <v>-65716.317392549943</v>
      </c>
      <c r="L30" s="1" t="str">
        <f t="shared" si="2"/>
        <v>over-predicted</v>
      </c>
    </row>
    <row r="31" spans="1:12">
      <c r="A31" s="3" t="s">
        <v>36</v>
      </c>
      <c r="B31" s="3">
        <v>617291.15</v>
      </c>
      <c r="C31" s="3">
        <v>118910.48</v>
      </c>
      <c r="D31" s="3">
        <v>4022</v>
      </c>
      <c r="E31" s="3">
        <v>0.13700000000000001</v>
      </c>
      <c r="F31" s="3">
        <v>11</v>
      </c>
      <c r="G31" s="3">
        <v>0</v>
      </c>
      <c r="H31" s="3">
        <v>1</v>
      </c>
      <c r="I31" s="3">
        <v>0</v>
      </c>
      <c r="J31" s="3">
        <f t="shared" si="0"/>
        <v>681947.56344679999</v>
      </c>
      <c r="K31" s="3">
        <f t="shared" si="1"/>
        <v>-64656.413446799968</v>
      </c>
      <c r="L31" s="1" t="str">
        <f t="shared" si="2"/>
        <v>over-predicted</v>
      </c>
    </row>
    <row r="32" spans="1:12">
      <c r="A32" s="3" t="s">
        <v>99</v>
      </c>
      <c r="B32" s="3">
        <v>536524.84</v>
      </c>
      <c r="C32" s="3">
        <v>23702.38</v>
      </c>
      <c r="D32" s="3">
        <v>5285</v>
      </c>
      <c r="E32" s="3">
        <v>0.16700000000000001</v>
      </c>
      <c r="F32" s="3">
        <v>14</v>
      </c>
      <c r="G32" s="3">
        <v>1</v>
      </c>
      <c r="H32" s="3">
        <v>0</v>
      </c>
      <c r="I32" s="3">
        <v>0</v>
      </c>
      <c r="J32" s="3">
        <f t="shared" si="0"/>
        <v>598959.90761029988</v>
      </c>
      <c r="K32" s="3">
        <f t="shared" si="1"/>
        <v>-62435.067610299913</v>
      </c>
      <c r="L32" s="1" t="str">
        <f t="shared" si="2"/>
        <v>over-predicted</v>
      </c>
    </row>
    <row r="33" spans="1:12">
      <c r="A33" s="3" t="s">
        <v>77</v>
      </c>
      <c r="B33" s="3">
        <v>723531.4</v>
      </c>
      <c r="C33" s="3">
        <v>73540.990000000005</v>
      </c>
      <c r="D33" s="3">
        <v>8773</v>
      </c>
      <c r="E33" s="3">
        <v>3.5000000000000003E-2</v>
      </c>
      <c r="F33" s="3">
        <v>21</v>
      </c>
      <c r="G33" s="3">
        <v>1</v>
      </c>
      <c r="H33" s="3">
        <v>0</v>
      </c>
      <c r="I33" s="3">
        <v>0</v>
      </c>
      <c r="J33" s="3">
        <f t="shared" si="0"/>
        <v>784137.81215715001</v>
      </c>
      <c r="K33" s="3">
        <f t="shared" si="1"/>
        <v>-60606.412157149985</v>
      </c>
      <c r="L33" s="1" t="str">
        <f t="shared" si="2"/>
        <v>over-predicted</v>
      </c>
    </row>
    <row r="34" spans="1:12">
      <c r="A34" s="3" t="s">
        <v>92</v>
      </c>
      <c r="B34" s="3">
        <v>524899.56999999995</v>
      </c>
      <c r="C34" s="3">
        <v>45940.39</v>
      </c>
      <c r="D34" s="3">
        <v>4022</v>
      </c>
      <c r="E34" s="3">
        <v>6.9000000000000006E-2</v>
      </c>
      <c r="F34" s="3">
        <v>10</v>
      </c>
      <c r="G34" s="3">
        <v>1</v>
      </c>
      <c r="H34" s="3">
        <v>0</v>
      </c>
      <c r="I34" s="3">
        <v>0</v>
      </c>
      <c r="J34" s="3">
        <f t="shared" si="0"/>
        <v>585200.44222415006</v>
      </c>
      <c r="K34" s="3">
        <f t="shared" si="1"/>
        <v>-60300.872224150109</v>
      </c>
      <c r="L34" s="1" t="str">
        <f t="shared" si="2"/>
        <v>over-predicted</v>
      </c>
    </row>
    <row r="35" spans="1:12">
      <c r="A35" s="3" t="s">
        <v>30</v>
      </c>
      <c r="B35" s="3">
        <v>799477.76000000001</v>
      </c>
      <c r="C35" s="3">
        <v>73771.91</v>
      </c>
      <c r="D35" s="3">
        <v>11695</v>
      </c>
      <c r="E35" s="3">
        <v>7.0000000000000007E-2</v>
      </c>
      <c r="F35" s="3">
        <v>25</v>
      </c>
      <c r="G35" s="3">
        <v>0</v>
      </c>
      <c r="H35" s="3">
        <v>0</v>
      </c>
      <c r="I35" s="3">
        <v>0</v>
      </c>
      <c r="J35" s="3">
        <f t="shared" si="0"/>
        <v>859323.31586134993</v>
      </c>
      <c r="K35" s="3">
        <f t="shared" si="1"/>
        <v>-59845.555861349916</v>
      </c>
      <c r="L35" s="1" t="str">
        <f t="shared" si="2"/>
        <v>over-predicted</v>
      </c>
    </row>
    <row r="36" spans="1:12">
      <c r="A36" s="3" t="s">
        <v>50</v>
      </c>
      <c r="B36" s="3">
        <v>697287.9</v>
      </c>
      <c r="C36" s="3">
        <v>33605.18</v>
      </c>
      <c r="D36" s="3">
        <v>9225</v>
      </c>
      <c r="E36" s="3">
        <v>0.159</v>
      </c>
      <c r="F36" s="3">
        <v>23</v>
      </c>
      <c r="G36" s="3">
        <v>0</v>
      </c>
      <c r="H36" s="3">
        <v>0</v>
      </c>
      <c r="I36" s="3">
        <v>1</v>
      </c>
      <c r="J36" s="3">
        <f t="shared" si="0"/>
        <v>756572.6384843</v>
      </c>
      <c r="K36" s="3">
        <f t="shared" si="1"/>
        <v>-59284.738484299975</v>
      </c>
      <c r="L36" s="1" t="str">
        <f t="shared" si="2"/>
        <v>over-predicted</v>
      </c>
    </row>
    <row r="37" spans="1:12">
      <c r="A37" s="3" t="s">
        <v>29</v>
      </c>
      <c r="B37" s="3">
        <v>427917.38</v>
      </c>
      <c r="C37" s="3">
        <v>69816.350000000006</v>
      </c>
      <c r="D37" s="3">
        <v>971</v>
      </c>
      <c r="E37" s="3">
        <v>0.16800000000000001</v>
      </c>
      <c r="F37" s="3">
        <v>5</v>
      </c>
      <c r="G37" s="3">
        <v>0</v>
      </c>
      <c r="H37" s="3">
        <v>0</v>
      </c>
      <c r="I37" s="3">
        <v>0</v>
      </c>
      <c r="J37" s="3">
        <f t="shared" si="0"/>
        <v>485467.83576274995</v>
      </c>
      <c r="K37" s="3">
        <f t="shared" si="1"/>
        <v>-57550.455762749945</v>
      </c>
      <c r="L37" s="1" t="str">
        <f t="shared" si="2"/>
        <v>over-predicted</v>
      </c>
    </row>
    <row r="38" spans="1:12">
      <c r="A38" s="3" t="s">
        <v>91</v>
      </c>
      <c r="B38" s="3">
        <v>673076.34</v>
      </c>
      <c r="C38" s="3">
        <v>61784.11</v>
      </c>
      <c r="D38" s="3">
        <v>8564</v>
      </c>
      <c r="E38" s="3">
        <v>0.13</v>
      </c>
      <c r="F38" s="3">
        <v>17</v>
      </c>
      <c r="G38" s="3">
        <v>0</v>
      </c>
      <c r="H38" s="3">
        <v>0</v>
      </c>
      <c r="I38" s="3">
        <v>0</v>
      </c>
      <c r="J38" s="3">
        <f t="shared" si="0"/>
        <v>730197.91558434989</v>
      </c>
      <c r="K38" s="3">
        <f t="shared" si="1"/>
        <v>-57121.575584349921</v>
      </c>
      <c r="L38" s="1" t="str">
        <f t="shared" si="2"/>
        <v>over-predicted</v>
      </c>
    </row>
    <row r="39" spans="1:12">
      <c r="A39" s="3" t="s">
        <v>22</v>
      </c>
      <c r="B39" s="3">
        <v>726606.28</v>
      </c>
      <c r="C39" s="3">
        <v>55716.82</v>
      </c>
      <c r="D39" s="3">
        <v>10054</v>
      </c>
      <c r="E39" s="3">
        <v>0.14599999999999999</v>
      </c>
      <c r="F39" s="3">
        <v>24</v>
      </c>
      <c r="G39" s="3">
        <v>0</v>
      </c>
      <c r="H39" s="3">
        <v>0</v>
      </c>
      <c r="I39" s="3">
        <v>0</v>
      </c>
      <c r="J39" s="3">
        <f t="shared" si="0"/>
        <v>782714.95339169994</v>
      </c>
      <c r="K39" s="3">
        <f t="shared" si="1"/>
        <v>-56108.673391699907</v>
      </c>
      <c r="L39" s="1" t="str">
        <f t="shared" si="2"/>
        <v>over-predicted</v>
      </c>
    </row>
    <row r="40" spans="1:12">
      <c r="A40" s="3" t="s">
        <v>78</v>
      </c>
      <c r="B40" s="3">
        <v>527681.56000000006</v>
      </c>
      <c r="C40" s="3">
        <v>42932.02</v>
      </c>
      <c r="D40" s="3">
        <v>3872</v>
      </c>
      <c r="E40" s="3">
        <v>0.17100000000000001</v>
      </c>
      <c r="F40" s="3">
        <v>12</v>
      </c>
      <c r="G40" s="3">
        <v>0</v>
      </c>
      <c r="H40" s="3">
        <v>0</v>
      </c>
      <c r="I40" s="3">
        <v>1</v>
      </c>
      <c r="J40" s="3">
        <f t="shared" si="0"/>
        <v>583091.84083569993</v>
      </c>
      <c r="K40" s="3">
        <f t="shared" si="1"/>
        <v>-55410.280835699872</v>
      </c>
      <c r="L40" s="1" t="str">
        <f t="shared" si="2"/>
        <v>over-predicted</v>
      </c>
    </row>
    <row r="41" spans="1:12">
      <c r="A41" s="3" t="s">
        <v>85</v>
      </c>
      <c r="B41" s="3">
        <v>612390.14</v>
      </c>
      <c r="C41" s="3">
        <v>36290.080000000002</v>
      </c>
      <c r="D41" s="3">
        <v>5787</v>
      </c>
      <c r="E41" s="3">
        <v>0</v>
      </c>
      <c r="F41" s="3">
        <v>17</v>
      </c>
      <c r="G41" s="3">
        <v>0</v>
      </c>
      <c r="H41" s="3">
        <v>1</v>
      </c>
      <c r="I41" s="3">
        <v>0</v>
      </c>
      <c r="J41" s="3">
        <f t="shared" si="0"/>
        <v>667227.86204679986</v>
      </c>
      <c r="K41" s="3">
        <f t="shared" si="1"/>
        <v>-54837.722046799841</v>
      </c>
      <c r="L41" s="1" t="str">
        <f t="shared" si="2"/>
        <v>over-predicted</v>
      </c>
    </row>
    <row r="42" spans="1:12">
      <c r="A42" s="3" t="s">
        <v>52</v>
      </c>
      <c r="B42" s="3">
        <v>557487.26</v>
      </c>
      <c r="C42" s="3">
        <v>48396.13</v>
      </c>
      <c r="D42" s="3">
        <v>4423</v>
      </c>
      <c r="E42" s="3">
        <v>6.9000000000000006E-2</v>
      </c>
      <c r="F42" s="3">
        <v>15</v>
      </c>
      <c r="G42" s="3">
        <v>1</v>
      </c>
      <c r="H42" s="3">
        <v>0</v>
      </c>
      <c r="I42" s="3">
        <v>0</v>
      </c>
      <c r="J42" s="3">
        <f t="shared" si="0"/>
        <v>611913.00324205006</v>
      </c>
      <c r="K42" s="3">
        <f t="shared" si="1"/>
        <v>-54425.743242050055</v>
      </c>
      <c r="L42" s="1" t="str">
        <f t="shared" si="2"/>
        <v>over-predicted</v>
      </c>
    </row>
    <row r="43" spans="1:12">
      <c r="A43" s="3" t="s">
        <v>39</v>
      </c>
      <c r="B43" s="3">
        <v>479050.5</v>
      </c>
      <c r="C43" s="3">
        <v>36813.449999999997</v>
      </c>
      <c r="D43" s="3">
        <v>2834</v>
      </c>
      <c r="E43" s="3">
        <v>0.191</v>
      </c>
      <c r="F43" s="3">
        <v>11</v>
      </c>
      <c r="G43" s="3">
        <v>1</v>
      </c>
      <c r="H43" s="3">
        <v>0</v>
      </c>
      <c r="I43" s="3">
        <v>0</v>
      </c>
      <c r="J43" s="3">
        <f t="shared" si="0"/>
        <v>532874.28657224996</v>
      </c>
      <c r="K43" s="3">
        <f t="shared" si="1"/>
        <v>-53823.786572249955</v>
      </c>
      <c r="L43" s="1" t="str">
        <f t="shared" si="2"/>
        <v>over-predicted</v>
      </c>
    </row>
    <row r="44" spans="1:12">
      <c r="A44" s="3" t="s">
        <v>55</v>
      </c>
      <c r="B44" s="3">
        <v>527300.13</v>
      </c>
      <c r="C44" s="3">
        <v>70276.28</v>
      </c>
      <c r="D44" s="3">
        <v>3043</v>
      </c>
      <c r="E44" s="3">
        <v>7.9000000000000001E-2</v>
      </c>
      <c r="F44" s="3">
        <v>9</v>
      </c>
      <c r="G44" s="3">
        <v>1</v>
      </c>
      <c r="H44" s="3">
        <v>0</v>
      </c>
      <c r="I44" s="3">
        <v>0</v>
      </c>
      <c r="J44" s="3">
        <f t="shared" si="0"/>
        <v>580552.80644979991</v>
      </c>
      <c r="K44" s="3">
        <f t="shared" si="1"/>
        <v>-53252.67644979991</v>
      </c>
      <c r="L44" s="1" t="str">
        <f t="shared" si="2"/>
        <v>over-predicted</v>
      </c>
    </row>
    <row r="45" spans="1:12">
      <c r="A45" s="3" t="s">
        <v>79</v>
      </c>
      <c r="B45" s="3">
        <v>596969.27</v>
      </c>
      <c r="C45" s="3">
        <v>33173.949999999997</v>
      </c>
      <c r="D45" s="3">
        <v>6545</v>
      </c>
      <c r="E45" s="3">
        <v>0.16900000000000001</v>
      </c>
      <c r="F45" s="3">
        <v>15</v>
      </c>
      <c r="G45" s="3">
        <v>1</v>
      </c>
      <c r="H45" s="3">
        <v>0</v>
      </c>
      <c r="I45" s="3">
        <v>0</v>
      </c>
      <c r="J45" s="3">
        <f t="shared" si="0"/>
        <v>648496.43646274996</v>
      </c>
      <c r="K45" s="3">
        <f t="shared" si="1"/>
        <v>-51527.166462749941</v>
      </c>
      <c r="L45" s="1" t="str">
        <f t="shared" si="2"/>
        <v>over-predicted</v>
      </c>
    </row>
    <row r="46" spans="1:12">
      <c r="A46" s="3" t="s">
        <v>69</v>
      </c>
      <c r="B46" s="3">
        <v>554012.06999999995</v>
      </c>
      <c r="C46" s="3">
        <v>54966.18</v>
      </c>
      <c r="D46" s="3">
        <v>4423</v>
      </c>
      <c r="E46" s="3">
        <v>0.186</v>
      </c>
      <c r="F46" s="3">
        <v>13</v>
      </c>
      <c r="G46" s="3">
        <v>1</v>
      </c>
      <c r="H46" s="3">
        <v>0</v>
      </c>
      <c r="I46" s="3">
        <v>0</v>
      </c>
      <c r="J46" s="3">
        <f t="shared" si="0"/>
        <v>604703.17859729996</v>
      </c>
      <c r="K46" s="3">
        <f t="shared" si="1"/>
        <v>-50691.108597300015</v>
      </c>
      <c r="L46" s="1" t="str">
        <f t="shared" si="2"/>
        <v>over-predicted</v>
      </c>
    </row>
    <row r="47" spans="1:12">
      <c r="A47" s="3" t="s">
        <v>35</v>
      </c>
      <c r="B47" s="3">
        <v>487464.91</v>
      </c>
      <c r="C47" s="3">
        <v>27808.6</v>
      </c>
      <c r="D47" s="3">
        <v>2863</v>
      </c>
      <c r="E47" s="3">
        <v>0.08</v>
      </c>
      <c r="F47" s="3">
        <v>13</v>
      </c>
      <c r="G47" s="3">
        <v>1</v>
      </c>
      <c r="H47" s="3">
        <v>0</v>
      </c>
      <c r="I47" s="3">
        <v>0</v>
      </c>
      <c r="J47" s="3">
        <f t="shared" si="0"/>
        <v>537720.49321300001</v>
      </c>
      <c r="K47" s="3">
        <f t="shared" si="1"/>
        <v>-50255.583213000034</v>
      </c>
      <c r="L47" s="1" t="str">
        <f t="shared" si="2"/>
        <v>over-predicted</v>
      </c>
    </row>
    <row r="48" spans="1:12">
      <c r="A48" s="3" t="s">
        <v>40</v>
      </c>
      <c r="B48" s="3">
        <v>630829.93999999994</v>
      </c>
      <c r="C48" s="3">
        <v>53762.92</v>
      </c>
      <c r="D48" s="3">
        <v>6821</v>
      </c>
      <c r="E48" s="3">
        <v>6.6000000000000003E-2</v>
      </c>
      <c r="F48" s="3">
        <v>19</v>
      </c>
      <c r="G48" s="3">
        <v>0</v>
      </c>
      <c r="H48" s="3">
        <v>0</v>
      </c>
      <c r="I48" s="3">
        <v>0</v>
      </c>
      <c r="J48" s="3">
        <f t="shared" si="0"/>
        <v>680693.49487819988</v>
      </c>
      <c r="K48" s="3">
        <f t="shared" si="1"/>
        <v>-49863.554878199939</v>
      </c>
      <c r="L48" s="1" t="str">
        <f t="shared" si="2"/>
        <v>over-predicted</v>
      </c>
    </row>
    <row r="49" spans="1:12">
      <c r="A49" s="3" t="s">
        <v>101</v>
      </c>
      <c r="B49" s="3">
        <v>559660.84</v>
      </c>
      <c r="C49" s="3">
        <v>40553.11</v>
      </c>
      <c r="D49" s="3">
        <v>5317</v>
      </c>
      <c r="E49" s="3">
        <v>0.16500000000000001</v>
      </c>
      <c r="F49" s="3">
        <v>17</v>
      </c>
      <c r="G49" s="3">
        <v>0</v>
      </c>
      <c r="H49" s="3">
        <v>0</v>
      </c>
      <c r="I49" s="3">
        <v>0</v>
      </c>
      <c r="J49" s="3">
        <f t="shared" si="0"/>
        <v>609125.47539134987</v>
      </c>
      <c r="K49" s="3">
        <f t="shared" si="1"/>
        <v>-49464.635391349904</v>
      </c>
      <c r="L49" s="1" t="str">
        <f t="shared" si="2"/>
        <v>over-predicted</v>
      </c>
    </row>
    <row r="50" spans="1:12">
      <c r="A50" s="3" t="s">
        <v>62</v>
      </c>
      <c r="B50" s="3">
        <v>677096.71</v>
      </c>
      <c r="C50" s="3">
        <v>57143.3</v>
      </c>
      <c r="D50" s="3">
        <v>8038</v>
      </c>
      <c r="E50" s="3">
        <v>0.193</v>
      </c>
      <c r="F50" s="3">
        <v>17</v>
      </c>
      <c r="G50" s="3">
        <v>1</v>
      </c>
      <c r="H50" s="3">
        <v>0</v>
      </c>
      <c r="I50" s="3">
        <v>0</v>
      </c>
      <c r="J50" s="3">
        <f t="shared" si="0"/>
        <v>721632.90112649987</v>
      </c>
      <c r="K50" s="3">
        <f t="shared" si="1"/>
        <v>-44536.191126499907</v>
      </c>
      <c r="L50" s="1" t="str">
        <f t="shared" si="2"/>
        <v>over-predicted</v>
      </c>
    </row>
    <row r="51" spans="1:12">
      <c r="A51" s="3" t="s">
        <v>54</v>
      </c>
      <c r="B51" s="3">
        <v>725235.28</v>
      </c>
      <c r="C51" s="3">
        <v>50735.63</v>
      </c>
      <c r="D51" s="3">
        <v>9619</v>
      </c>
      <c r="E51" s="3">
        <v>0.14399999999999999</v>
      </c>
      <c r="F51" s="3">
        <v>19</v>
      </c>
      <c r="G51" s="3">
        <v>1</v>
      </c>
      <c r="H51" s="3">
        <v>0</v>
      </c>
      <c r="I51" s="3">
        <v>0</v>
      </c>
      <c r="J51" s="3">
        <f t="shared" si="0"/>
        <v>769460.31693354994</v>
      </c>
      <c r="K51" s="3">
        <f t="shared" si="1"/>
        <v>-44225.036933549913</v>
      </c>
      <c r="L51" s="1" t="str">
        <f t="shared" si="2"/>
        <v>over-predicted</v>
      </c>
    </row>
    <row r="52" spans="1:12">
      <c r="A52" s="3" t="s">
        <v>84</v>
      </c>
      <c r="B52" s="3">
        <v>642751.42000000004</v>
      </c>
      <c r="C52" s="3">
        <v>72932.55</v>
      </c>
      <c r="D52" s="3">
        <v>5765</v>
      </c>
      <c r="E52" s="3">
        <v>2.5999999999999999E-2</v>
      </c>
      <c r="F52" s="3">
        <v>17</v>
      </c>
      <c r="G52" s="3">
        <v>1</v>
      </c>
      <c r="H52" s="3">
        <v>0</v>
      </c>
      <c r="I52" s="3">
        <v>0</v>
      </c>
      <c r="J52" s="3">
        <f t="shared" si="0"/>
        <v>686791.97343974991</v>
      </c>
      <c r="K52" s="3">
        <f t="shared" si="1"/>
        <v>-44040.55343974987</v>
      </c>
      <c r="L52" s="1" t="str">
        <f t="shared" si="2"/>
        <v>over-predicted</v>
      </c>
    </row>
    <row r="53" spans="1:12">
      <c r="A53" s="3" t="s">
        <v>59</v>
      </c>
      <c r="B53" s="3">
        <v>614024.91</v>
      </c>
      <c r="C53" s="3">
        <v>51575.68</v>
      </c>
      <c r="D53" s="3">
        <v>5329</v>
      </c>
      <c r="E53" s="3">
        <v>4.7E-2</v>
      </c>
      <c r="F53" s="3">
        <v>17</v>
      </c>
      <c r="G53" s="3">
        <v>0</v>
      </c>
      <c r="H53" s="3">
        <v>0</v>
      </c>
      <c r="I53" s="3">
        <v>1</v>
      </c>
      <c r="J53" s="3">
        <f t="shared" si="0"/>
        <v>657635.45562679996</v>
      </c>
      <c r="K53" s="3">
        <f t="shared" si="1"/>
        <v>-43610.545626799925</v>
      </c>
      <c r="L53" s="1" t="str">
        <f t="shared" si="2"/>
        <v>over-predicted</v>
      </c>
    </row>
    <row r="54" spans="1:12">
      <c r="A54" s="3" t="s">
        <v>92</v>
      </c>
      <c r="B54" s="3">
        <v>555557.77</v>
      </c>
      <c r="C54" s="3">
        <v>34771.26</v>
      </c>
      <c r="D54" s="3">
        <v>4355</v>
      </c>
      <c r="E54" s="3">
        <v>5.0999999999999997E-2</v>
      </c>
      <c r="F54" s="3">
        <v>15</v>
      </c>
      <c r="G54" s="3">
        <v>1</v>
      </c>
      <c r="H54" s="3">
        <v>0</v>
      </c>
      <c r="I54" s="3">
        <v>0</v>
      </c>
      <c r="J54" s="3">
        <f t="shared" si="0"/>
        <v>596221.14706909994</v>
      </c>
      <c r="K54" s="3">
        <f t="shared" si="1"/>
        <v>-40663.377069099923</v>
      </c>
      <c r="L54" s="1" t="str">
        <f t="shared" si="2"/>
        <v>over-predicted</v>
      </c>
    </row>
    <row r="55" spans="1:12">
      <c r="A55" s="3" t="s">
        <v>41</v>
      </c>
      <c r="B55" s="3">
        <v>643657.47</v>
      </c>
      <c r="C55" s="3">
        <v>56973.18</v>
      </c>
      <c r="D55" s="3">
        <v>6662</v>
      </c>
      <c r="E55" s="3">
        <v>0.1</v>
      </c>
      <c r="F55" s="3">
        <v>15</v>
      </c>
      <c r="G55" s="3">
        <v>1</v>
      </c>
      <c r="H55" s="3">
        <v>0</v>
      </c>
      <c r="I55" s="3">
        <v>0</v>
      </c>
      <c r="J55" s="3">
        <f t="shared" si="0"/>
        <v>684108.5998503</v>
      </c>
      <c r="K55" s="3">
        <f t="shared" si="1"/>
        <v>-40451.129850300029</v>
      </c>
      <c r="L55" s="1" t="str">
        <f t="shared" si="2"/>
        <v>over-predicted</v>
      </c>
    </row>
    <row r="56" spans="1:12">
      <c r="A56" s="3" t="s">
        <v>52</v>
      </c>
      <c r="B56" s="3">
        <v>441275.42</v>
      </c>
      <c r="C56" s="3">
        <v>19063.48</v>
      </c>
      <c r="D56" s="3">
        <v>1906</v>
      </c>
      <c r="E56" s="3">
        <v>0.216</v>
      </c>
      <c r="F56" s="3">
        <v>10</v>
      </c>
      <c r="G56" s="3">
        <v>1</v>
      </c>
      <c r="H56" s="3">
        <v>0</v>
      </c>
      <c r="I56" s="3">
        <v>0</v>
      </c>
      <c r="J56" s="3">
        <f t="shared" si="0"/>
        <v>481553.52705979993</v>
      </c>
      <c r="K56" s="3">
        <f t="shared" si="1"/>
        <v>-40278.10705979995</v>
      </c>
      <c r="L56" s="1" t="str">
        <f t="shared" si="2"/>
        <v>over-predicted</v>
      </c>
    </row>
    <row r="57" spans="1:12">
      <c r="A57" s="3" t="s">
        <v>63</v>
      </c>
      <c r="B57" s="3">
        <v>706285.52</v>
      </c>
      <c r="C57" s="3">
        <v>35303.300000000003</v>
      </c>
      <c r="D57" s="3">
        <v>8789</v>
      </c>
      <c r="E57" s="3">
        <v>0.123</v>
      </c>
      <c r="F57" s="3">
        <v>22</v>
      </c>
      <c r="G57" s="3">
        <v>0</v>
      </c>
      <c r="H57" s="3">
        <v>0</v>
      </c>
      <c r="I57" s="3">
        <v>1</v>
      </c>
      <c r="J57" s="3">
        <f t="shared" si="0"/>
        <v>746271.83462049987</v>
      </c>
      <c r="K57" s="3">
        <f t="shared" si="1"/>
        <v>-39986.314620499848</v>
      </c>
      <c r="L57" s="1" t="str">
        <f t="shared" si="2"/>
        <v>over-predicted</v>
      </c>
    </row>
    <row r="58" spans="1:12">
      <c r="A58" s="3" t="s">
        <v>68</v>
      </c>
      <c r="B58" s="3">
        <v>712546.38</v>
      </c>
      <c r="C58" s="3">
        <v>72784.800000000003</v>
      </c>
      <c r="D58" s="3">
        <v>7932</v>
      </c>
      <c r="E58" s="3">
        <v>9.4E-2</v>
      </c>
      <c r="F58" s="3">
        <v>20</v>
      </c>
      <c r="G58" s="3">
        <v>1</v>
      </c>
      <c r="H58" s="3">
        <v>0</v>
      </c>
      <c r="I58" s="3">
        <v>0</v>
      </c>
      <c r="J58" s="3">
        <f t="shared" si="0"/>
        <v>751503.43554799992</v>
      </c>
      <c r="K58" s="3">
        <f t="shared" si="1"/>
        <v>-38957.055547999917</v>
      </c>
      <c r="L58" s="1" t="str">
        <f t="shared" si="2"/>
        <v>over-predicted</v>
      </c>
    </row>
    <row r="59" spans="1:12">
      <c r="A59" s="3" t="s">
        <v>72</v>
      </c>
      <c r="B59" s="3">
        <v>650795.49</v>
      </c>
      <c r="C59" s="3">
        <v>64104.28</v>
      </c>
      <c r="D59" s="3">
        <v>6015</v>
      </c>
      <c r="E59" s="3">
        <v>0.127</v>
      </c>
      <c r="F59" s="3">
        <v>15</v>
      </c>
      <c r="G59" s="3">
        <v>0</v>
      </c>
      <c r="H59" s="3">
        <v>1</v>
      </c>
      <c r="I59" s="3">
        <v>0</v>
      </c>
      <c r="J59" s="3">
        <f t="shared" si="0"/>
        <v>689520.49578179989</v>
      </c>
      <c r="K59" s="3">
        <f t="shared" si="1"/>
        <v>-38725.005781799904</v>
      </c>
      <c r="L59" s="1" t="str">
        <f t="shared" si="2"/>
        <v>over-predicted</v>
      </c>
    </row>
    <row r="60" spans="1:12">
      <c r="A60" s="3" t="s">
        <v>47</v>
      </c>
      <c r="B60" s="3">
        <v>586626.93999999994</v>
      </c>
      <c r="C60" s="3">
        <v>63101.59</v>
      </c>
      <c r="D60" s="3">
        <v>4373</v>
      </c>
      <c r="E60" s="3">
        <v>0.17299999999999999</v>
      </c>
      <c r="F60" s="3">
        <v>14</v>
      </c>
      <c r="G60" s="3">
        <v>0</v>
      </c>
      <c r="H60" s="3">
        <v>0</v>
      </c>
      <c r="I60" s="3">
        <v>1</v>
      </c>
      <c r="J60" s="3">
        <f t="shared" si="0"/>
        <v>624921.28833214985</v>
      </c>
      <c r="K60" s="3">
        <f t="shared" si="1"/>
        <v>-38294.348332149908</v>
      </c>
      <c r="L60" s="1" t="str">
        <f t="shared" si="2"/>
        <v>over-predicted</v>
      </c>
    </row>
    <row r="61" spans="1:12">
      <c r="A61" s="3" t="s">
        <v>40</v>
      </c>
      <c r="B61" s="3">
        <v>680840.36</v>
      </c>
      <c r="C61" s="3">
        <v>58749.63</v>
      </c>
      <c r="D61" s="3">
        <v>8252</v>
      </c>
      <c r="E61" s="3">
        <v>0.20300000000000001</v>
      </c>
      <c r="F61" s="3">
        <v>20</v>
      </c>
      <c r="G61" s="3">
        <v>0</v>
      </c>
      <c r="H61" s="3">
        <v>0</v>
      </c>
      <c r="I61" s="3">
        <v>0</v>
      </c>
      <c r="J61" s="3">
        <f t="shared" si="0"/>
        <v>719113.26961754996</v>
      </c>
      <c r="K61" s="3">
        <f t="shared" si="1"/>
        <v>-38272.909617549973</v>
      </c>
      <c r="L61" s="1" t="str">
        <f t="shared" si="2"/>
        <v>over-predicted</v>
      </c>
    </row>
    <row r="62" spans="1:12">
      <c r="A62" s="3" t="s">
        <v>72</v>
      </c>
      <c r="B62" s="3">
        <v>598904.9</v>
      </c>
      <c r="C62" s="3">
        <v>22312.93</v>
      </c>
      <c r="D62" s="3">
        <v>5955</v>
      </c>
      <c r="E62" s="3">
        <v>0.123</v>
      </c>
      <c r="F62" s="3">
        <v>13</v>
      </c>
      <c r="G62" s="3">
        <v>0</v>
      </c>
      <c r="H62" s="3">
        <v>1</v>
      </c>
      <c r="I62" s="3">
        <v>0</v>
      </c>
      <c r="J62" s="3">
        <f t="shared" si="0"/>
        <v>636585.46549005003</v>
      </c>
      <c r="K62" s="3">
        <f t="shared" si="1"/>
        <v>-37680.565490050009</v>
      </c>
      <c r="L62" s="1" t="str">
        <f t="shared" si="2"/>
        <v>over-predicted</v>
      </c>
    </row>
    <row r="63" spans="1:12">
      <c r="A63" s="3" t="s">
        <v>34</v>
      </c>
      <c r="B63" s="3">
        <v>603297.56999999995</v>
      </c>
      <c r="C63" s="3">
        <v>49710.29</v>
      </c>
      <c r="D63" s="3">
        <v>5559</v>
      </c>
      <c r="E63" s="3">
        <v>0.218</v>
      </c>
      <c r="F63" s="3">
        <v>14</v>
      </c>
      <c r="G63" s="3">
        <v>0</v>
      </c>
      <c r="H63" s="3">
        <v>0</v>
      </c>
      <c r="I63" s="3">
        <v>1</v>
      </c>
      <c r="J63" s="3">
        <f t="shared" si="0"/>
        <v>640817.94840564998</v>
      </c>
      <c r="K63" s="3">
        <f t="shared" si="1"/>
        <v>-37520.37840565003</v>
      </c>
      <c r="L63" s="1" t="str">
        <f t="shared" si="2"/>
        <v>over-predicted</v>
      </c>
    </row>
    <row r="64" spans="1:12">
      <c r="A64" s="3" t="s">
        <v>41</v>
      </c>
      <c r="B64" s="3">
        <v>636561.34</v>
      </c>
      <c r="C64" s="3">
        <v>77999.899999999994</v>
      </c>
      <c r="D64" s="3">
        <v>5974</v>
      </c>
      <c r="E64" s="3">
        <v>0.252</v>
      </c>
      <c r="F64" s="3">
        <v>14</v>
      </c>
      <c r="G64" s="3">
        <v>1</v>
      </c>
      <c r="H64" s="3">
        <v>0</v>
      </c>
      <c r="I64" s="3">
        <v>0</v>
      </c>
      <c r="J64" s="3">
        <f t="shared" si="0"/>
        <v>672573.16983349982</v>
      </c>
      <c r="K64" s="3">
        <f t="shared" si="1"/>
        <v>-36011.829833499854</v>
      </c>
      <c r="L64" s="1" t="str">
        <f t="shared" si="2"/>
        <v>over-predicted</v>
      </c>
    </row>
    <row r="65" spans="1:12">
      <c r="A65" s="3" t="s">
        <v>62</v>
      </c>
      <c r="B65" s="3">
        <v>650480.06000000006</v>
      </c>
      <c r="C65" s="3">
        <v>41443.410000000003</v>
      </c>
      <c r="D65" s="3">
        <v>7455</v>
      </c>
      <c r="E65" s="3">
        <v>0.17499999999999999</v>
      </c>
      <c r="F65" s="3">
        <v>16</v>
      </c>
      <c r="G65" s="3">
        <v>1</v>
      </c>
      <c r="H65" s="3">
        <v>0</v>
      </c>
      <c r="I65" s="3">
        <v>0</v>
      </c>
      <c r="J65" s="3">
        <f t="shared" si="0"/>
        <v>686175.0094688501</v>
      </c>
      <c r="K65" s="3">
        <f t="shared" si="1"/>
        <v>-35694.949468850042</v>
      </c>
      <c r="L65" s="1" t="str">
        <f t="shared" si="2"/>
        <v>over-predicted</v>
      </c>
    </row>
    <row r="66" spans="1:12">
      <c r="A66" s="3" t="s">
        <v>19</v>
      </c>
      <c r="B66" s="3">
        <v>723060.76</v>
      </c>
      <c r="C66" s="3">
        <v>34285.21</v>
      </c>
      <c r="D66" s="3">
        <v>9172</v>
      </c>
      <c r="E66" s="3">
        <v>0.21299999999999999</v>
      </c>
      <c r="F66" s="3">
        <v>22</v>
      </c>
      <c r="G66" s="3">
        <v>0</v>
      </c>
      <c r="H66" s="3">
        <v>1</v>
      </c>
      <c r="I66" s="3">
        <v>0</v>
      </c>
      <c r="J66" s="3">
        <f t="shared" ref="J66:J129" si="3">380861.975+(1.114985*C66)+(29.111154*D66)-(82179.332*E66)+(2460.175*F66)+(17099.184*G66)+(35613.769*H66)+(26173.485*I66)</f>
        <v>758330.39564384986</v>
      </c>
      <c r="K66" s="3">
        <f t="shared" ref="K66:K129" si="4">B66-J66</f>
        <v>-35269.635643849848</v>
      </c>
      <c r="L66" s="1" t="str">
        <f t="shared" ref="L66:L129" si="5">IF(K66&lt;0,"over-predicted","under-predicted")</f>
        <v>over-predicted</v>
      </c>
    </row>
    <row r="67" spans="1:12">
      <c r="A67" s="3" t="s">
        <v>69</v>
      </c>
      <c r="B67" s="3">
        <v>443275.59</v>
      </c>
      <c r="C67" s="3">
        <v>37705.879999999997</v>
      </c>
      <c r="D67" s="3">
        <v>1268</v>
      </c>
      <c r="E67" s="3">
        <v>0.25900000000000001</v>
      </c>
      <c r="F67" s="3">
        <v>9</v>
      </c>
      <c r="G67" s="3">
        <v>1</v>
      </c>
      <c r="H67" s="3">
        <v>0</v>
      </c>
      <c r="I67" s="3">
        <v>0</v>
      </c>
      <c r="J67" s="3">
        <f t="shared" si="3"/>
        <v>477772.72089579998</v>
      </c>
      <c r="K67" s="3">
        <f t="shared" si="4"/>
        <v>-34497.130895799957</v>
      </c>
      <c r="L67" s="1" t="str">
        <f t="shared" si="5"/>
        <v>over-predicted</v>
      </c>
    </row>
    <row r="68" spans="1:12">
      <c r="A68" s="3" t="s">
        <v>81</v>
      </c>
      <c r="B68" s="3">
        <v>761919.25</v>
      </c>
      <c r="C68" s="3">
        <v>59060.05</v>
      </c>
      <c r="D68" s="3">
        <v>9702</v>
      </c>
      <c r="E68" s="3">
        <v>0.20100000000000001</v>
      </c>
      <c r="F68" s="3">
        <v>23</v>
      </c>
      <c r="G68" s="3">
        <v>0</v>
      </c>
      <c r="H68" s="3">
        <v>0</v>
      </c>
      <c r="I68" s="3">
        <v>1</v>
      </c>
      <c r="J68" s="3">
        <f t="shared" si="3"/>
        <v>795388.92522524996</v>
      </c>
      <c r="K68" s="3">
        <f t="shared" si="4"/>
        <v>-33469.675225249957</v>
      </c>
      <c r="L68" s="1" t="str">
        <f t="shared" si="5"/>
        <v>over-predicted</v>
      </c>
    </row>
    <row r="69" spans="1:12">
      <c r="A69" s="3" t="s">
        <v>17</v>
      </c>
      <c r="B69" s="3">
        <v>761835.34</v>
      </c>
      <c r="C69" s="3">
        <v>64811.21</v>
      </c>
      <c r="D69" s="3">
        <v>9792</v>
      </c>
      <c r="E69" s="3">
        <v>0.112</v>
      </c>
      <c r="F69" s="3">
        <v>20</v>
      </c>
      <c r="G69" s="3">
        <v>1</v>
      </c>
      <c r="H69" s="3">
        <v>0</v>
      </c>
      <c r="I69" s="3">
        <v>0</v>
      </c>
      <c r="J69" s="3">
        <f t="shared" si="3"/>
        <v>795280.52076584997</v>
      </c>
      <c r="K69" s="3">
        <f t="shared" si="4"/>
        <v>-33445.180765850004</v>
      </c>
      <c r="L69" s="1" t="str">
        <f t="shared" si="5"/>
        <v>over-predicted</v>
      </c>
    </row>
    <row r="70" spans="1:12">
      <c r="A70" s="3" t="s">
        <v>64</v>
      </c>
      <c r="B70" s="3">
        <v>739831.73</v>
      </c>
      <c r="C70" s="3">
        <v>62059.18</v>
      </c>
      <c r="D70" s="3">
        <v>9374</v>
      </c>
      <c r="E70" s="3">
        <v>0.13600000000000001</v>
      </c>
      <c r="F70" s="3">
        <v>25</v>
      </c>
      <c r="G70" s="3">
        <v>0</v>
      </c>
      <c r="H70" s="3">
        <v>0</v>
      </c>
      <c r="I70" s="3">
        <v>0</v>
      </c>
      <c r="J70" s="3">
        <f t="shared" si="3"/>
        <v>773272.97325629997</v>
      </c>
      <c r="K70" s="3">
        <f t="shared" si="4"/>
        <v>-33441.243256299989</v>
      </c>
      <c r="L70" s="1" t="str">
        <f t="shared" si="5"/>
        <v>over-predicted</v>
      </c>
    </row>
    <row r="71" spans="1:12">
      <c r="A71" s="3" t="s">
        <v>42</v>
      </c>
      <c r="B71" s="3">
        <v>621369.57999999996</v>
      </c>
      <c r="C71" s="3">
        <v>60881.01</v>
      </c>
      <c r="D71" s="3">
        <v>5410</v>
      </c>
      <c r="E71" s="3">
        <v>0.17899999999999999</v>
      </c>
      <c r="F71" s="3">
        <v>15</v>
      </c>
      <c r="G71" s="3">
        <v>0</v>
      </c>
      <c r="H71" s="3">
        <v>0</v>
      </c>
      <c r="I71" s="3">
        <v>1</v>
      </c>
      <c r="J71" s="3">
        <f t="shared" si="3"/>
        <v>654600.74064684997</v>
      </c>
      <c r="K71" s="3">
        <f t="shared" si="4"/>
        <v>-33231.16064685001</v>
      </c>
      <c r="L71" s="1" t="str">
        <f t="shared" si="5"/>
        <v>over-predicted</v>
      </c>
    </row>
    <row r="72" spans="1:12">
      <c r="A72" s="3" t="s">
        <v>95</v>
      </c>
      <c r="B72" s="3">
        <v>546223.69999999995</v>
      </c>
      <c r="C72" s="3">
        <v>51996.32</v>
      </c>
      <c r="D72" s="3">
        <v>3834</v>
      </c>
      <c r="E72" s="3">
        <v>9.6000000000000002E-2</v>
      </c>
      <c r="F72" s="3">
        <v>8</v>
      </c>
      <c r="G72" s="3">
        <v>1</v>
      </c>
      <c r="H72" s="3">
        <v>0</v>
      </c>
      <c r="I72" s="3">
        <v>0</v>
      </c>
      <c r="J72" s="3">
        <f t="shared" si="3"/>
        <v>579340.6244192</v>
      </c>
      <c r="K72" s="3">
        <f t="shared" si="4"/>
        <v>-33116.924419200048</v>
      </c>
      <c r="L72" s="1" t="str">
        <f t="shared" si="5"/>
        <v>over-predicted</v>
      </c>
    </row>
    <row r="73" spans="1:12">
      <c r="A73" s="3" t="s">
        <v>61</v>
      </c>
      <c r="B73" s="3">
        <v>700078.32</v>
      </c>
      <c r="C73" s="3">
        <v>86883.31</v>
      </c>
      <c r="D73" s="3">
        <v>6424</v>
      </c>
      <c r="E73" s="3">
        <v>5.7000000000000002E-2</v>
      </c>
      <c r="F73" s="3">
        <v>19</v>
      </c>
      <c r="G73" s="3">
        <v>0</v>
      </c>
      <c r="H73" s="3">
        <v>0</v>
      </c>
      <c r="I73" s="3">
        <v>1</v>
      </c>
      <c r="J73" s="3">
        <f t="shared" si="3"/>
        <v>732978.20377234998</v>
      </c>
      <c r="K73" s="3">
        <f t="shared" si="4"/>
        <v>-32899.883772350033</v>
      </c>
      <c r="L73" s="1" t="str">
        <f t="shared" si="5"/>
        <v>over-predicted</v>
      </c>
    </row>
    <row r="74" spans="1:12">
      <c r="A74" s="3" t="s">
        <v>101</v>
      </c>
      <c r="B74" s="3">
        <v>620264.19999999995</v>
      </c>
      <c r="C74" s="3">
        <v>76614.320000000007</v>
      </c>
      <c r="D74" s="3">
        <v>5639</v>
      </c>
      <c r="E74" s="3">
        <v>0.17399999999999999</v>
      </c>
      <c r="F74" s="3">
        <v>15</v>
      </c>
      <c r="G74" s="3">
        <v>0</v>
      </c>
      <c r="H74" s="3">
        <v>0</v>
      </c>
      <c r="I74" s="3">
        <v>0</v>
      </c>
      <c r="J74" s="3">
        <f t="shared" si="3"/>
        <v>653047.01122320001</v>
      </c>
      <c r="K74" s="3">
        <f t="shared" si="4"/>
        <v>-32782.811223200057</v>
      </c>
      <c r="L74" s="1" t="str">
        <f t="shared" si="5"/>
        <v>over-predicted</v>
      </c>
    </row>
    <row r="75" spans="1:12">
      <c r="A75" s="3" t="s">
        <v>32</v>
      </c>
      <c r="B75" s="3">
        <v>532644.46</v>
      </c>
      <c r="C75" s="3">
        <v>46123.88</v>
      </c>
      <c r="D75" s="3">
        <v>3227</v>
      </c>
      <c r="E75" s="3">
        <v>0.14299999999999999</v>
      </c>
      <c r="F75" s="3">
        <v>10</v>
      </c>
      <c r="G75" s="3">
        <v>0</v>
      </c>
      <c r="H75" s="3">
        <v>0</v>
      </c>
      <c r="I75" s="3">
        <v>1</v>
      </c>
      <c r="J75" s="3">
        <f t="shared" si="3"/>
        <v>565254.69382379996</v>
      </c>
      <c r="K75" s="3">
        <f t="shared" si="4"/>
        <v>-32610.233823799994</v>
      </c>
      <c r="L75" s="1" t="str">
        <f t="shared" si="5"/>
        <v>over-predicted</v>
      </c>
    </row>
    <row r="76" spans="1:12">
      <c r="A76" s="3" t="s">
        <v>78</v>
      </c>
      <c r="B76" s="3">
        <v>536545.49</v>
      </c>
      <c r="C76" s="3">
        <v>57225.98</v>
      </c>
      <c r="D76" s="3">
        <v>2842</v>
      </c>
      <c r="E76" s="3">
        <v>0.112</v>
      </c>
      <c r="F76" s="3">
        <v>10</v>
      </c>
      <c r="G76" s="3">
        <v>0</v>
      </c>
      <c r="H76" s="3">
        <v>0</v>
      </c>
      <c r="I76" s="3">
        <v>1</v>
      </c>
      <c r="J76" s="3">
        <f t="shared" si="3"/>
        <v>568973.13379429991</v>
      </c>
      <c r="K76" s="3">
        <f t="shared" si="4"/>
        <v>-32427.643794299918</v>
      </c>
      <c r="L76" s="1" t="str">
        <f t="shared" si="5"/>
        <v>over-predicted</v>
      </c>
    </row>
    <row r="77" spans="1:12">
      <c r="A77" s="3" t="s">
        <v>50</v>
      </c>
      <c r="B77" s="3">
        <v>718074.79</v>
      </c>
      <c r="C77" s="3">
        <v>25990.54</v>
      </c>
      <c r="D77" s="3">
        <v>9249</v>
      </c>
      <c r="E77" s="3">
        <v>0.13900000000000001</v>
      </c>
      <c r="F77" s="3">
        <v>23</v>
      </c>
      <c r="G77" s="3">
        <v>0</v>
      </c>
      <c r="H77" s="3">
        <v>0</v>
      </c>
      <c r="I77" s="3">
        <v>1</v>
      </c>
      <c r="J77" s="3">
        <f t="shared" si="3"/>
        <v>750424.68343990005</v>
      </c>
      <c r="K77" s="3">
        <f t="shared" si="4"/>
        <v>-32349.893439900014</v>
      </c>
      <c r="L77" s="1" t="str">
        <f t="shared" si="5"/>
        <v>over-predicted</v>
      </c>
    </row>
    <row r="78" spans="1:12">
      <c r="A78" s="3" t="s">
        <v>83</v>
      </c>
      <c r="B78" s="3">
        <v>679230.86</v>
      </c>
      <c r="C78" s="3">
        <v>57390.04</v>
      </c>
      <c r="D78" s="3">
        <v>7374</v>
      </c>
      <c r="E78" s="3">
        <v>0.21</v>
      </c>
      <c r="F78" s="3">
        <v>21</v>
      </c>
      <c r="G78" s="3">
        <v>1</v>
      </c>
      <c r="H78" s="3">
        <v>0</v>
      </c>
      <c r="I78" s="3">
        <v>0</v>
      </c>
      <c r="J78" s="3">
        <f t="shared" si="3"/>
        <v>711021.85762540007</v>
      </c>
      <c r="K78" s="3">
        <f t="shared" si="4"/>
        <v>-31790.997625400079</v>
      </c>
      <c r="L78" s="1" t="str">
        <f t="shared" si="5"/>
        <v>over-predicted</v>
      </c>
    </row>
    <row r="79" spans="1:12">
      <c r="A79" s="3" t="s">
        <v>97</v>
      </c>
      <c r="B79" s="3">
        <v>703812.99</v>
      </c>
      <c r="C79" s="3">
        <v>40647.67</v>
      </c>
      <c r="D79" s="3">
        <v>8252</v>
      </c>
      <c r="E79" s="3">
        <v>0.14099999999999999</v>
      </c>
      <c r="F79" s="3">
        <v>22</v>
      </c>
      <c r="G79" s="3">
        <v>0</v>
      </c>
      <c r="H79" s="3">
        <v>0</v>
      </c>
      <c r="I79" s="3">
        <v>1</v>
      </c>
      <c r="J79" s="3">
        <f t="shared" si="3"/>
        <v>735118.80933094991</v>
      </c>
      <c r="K79" s="3">
        <f t="shared" si="4"/>
        <v>-31305.819330949918</v>
      </c>
      <c r="L79" s="1" t="str">
        <f t="shared" si="5"/>
        <v>over-predicted</v>
      </c>
    </row>
    <row r="80" spans="1:12">
      <c r="A80" s="3" t="s">
        <v>60</v>
      </c>
      <c r="B80" s="3">
        <v>685830.24</v>
      </c>
      <c r="C80" s="3">
        <v>61433.84</v>
      </c>
      <c r="D80" s="3">
        <v>7745</v>
      </c>
      <c r="E80" s="3">
        <v>0.18</v>
      </c>
      <c r="F80" s="3">
        <v>16</v>
      </c>
      <c r="G80" s="3">
        <v>1</v>
      </c>
      <c r="H80" s="3">
        <v>0</v>
      </c>
      <c r="I80" s="3">
        <v>0</v>
      </c>
      <c r="J80" s="3">
        <f t="shared" si="3"/>
        <v>716495.3770624001</v>
      </c>
      <c r="K80" s="3">
        <f t="shared" si="4"/>
        <v>-30665.137062400114</v>
      </c>
      <c r="L80" s="1" t="str">
        <f t="shared" si="5"/>
        <v>over-predicted</v>
      </c>
    </row>
    <row r="81" spans="1:12">
      <c r="A81" s="3" t="s">
        <v>54</v>
      </c>
      <c r="B81" s="3">
        <v>811452.72</v>
      </c>
      <c r="C81" s="3">
        <v>66455.8</v>
      </c>
      <c r="D81" s="3">
        <v>10836</v>
      </c>
      <c r="E81" s="3">
        <v>8.8999999999999996E-2</v>
      </c>
      <c r="F81" s="3">
        <v>25</v>
      </c>
      <c r="G81" s="3">
        <v>1</v>
      </c>
      <c r="H81" s="3">
        <v>0</v>
      </c>
      <c r="I81" s="3">
        <v>0</v>
      </c>
      <c r="J81" s="3">
        <f t="shared" si="3"/>
        <v>841697.25835899997</v>
      </c>
      <c r="K81" s="3">
        <f t="shared" si="4"/>
        <v>-30244.538358999998</v>
      </c>
      <c r="L81" s="1" t="str">
        <f t="shared" si="5"/>
        <v>over-predicted</v>
      </c>
    </row>
    <row r="82" spans="1:12">
      <c r="A82" s="3" t="s">
        <v>97</v>
      </c>
      <c r="B82" s="3">
        <v>724346.73</v>
      </c>
      <c r="C82" s="3">
        <v>63986.98</v>
      </c>
      <c r="D82" s="3">
        <v>7989</v>
      </c>
      <c r="E82" s="3">
        <v>7.3999999999999996E-2</v>
      </c>
      <c r="F82" s="3">
        <v>20</v>
      </c>
      <c r="G82" s="3">
        <v>0</v>
      </c>
      <c r="H82" s="3">
        <v>0</v>
      </c>
      <c r="I82" s="3">
        <v>1</v>
      </c>
      <c r="J82" s="3">
        <f t="shared" si="3"/>
        <v>754071.22163329995</v>
      </c>
      <c r="K82" s="3">
        <f t="shared" si="4"/>
        <v>-29724.491633299971</v>
      </c>
      <c r="L82" s="1" t="str">
        <f t="shared" si="5"/>
        <v>over-predicted</v>
      </c>
    </row>
    <row r="83" spans="1:12">
      <c r="A83" s="3" t="s">
        <v>70</v>
      </c>
      <c r="B83" s="3">
        <v>643428.85</v>
      </c>
      <c r="C83" s="3">
        <v>81796.740000000005</v>
      </c>
      <c r="D83" s="3">
        <v>6177</v>
      </c>
      <c r="E83" s="3">
        <v>0.16400000000000001</v>
      </c>
      <c r="F83" s="3">
        <v>14</v>
      </c>
      <c r="G83" s="3">
        <v>0</v>
      </c>
      <c r="H83" s="3">
        <v>0</v>
      </c>
      <c r="I83" s="3">
        <v>0</v>
      </c>
      <c r="J83" s="3">
        <f t="shared" si="3"/>
        <v>672848.75095889997</v>
      </c>
      <c r="K83" s="3">
        <f t="shared" si="4"/>
        <v>-29419.900958899991</v>
      </c>
      <c r="L83" s="1" t="str">
        <f t="shared" si="5"/>
        <v>over-predicted</v>
      </c>
    </row>
    <row r="84" spans="1:12">
      <c r="A84" s="3" t="s">
        <v>65</v>
      </c>
      <c r="B84" s="3">
        <v>721364.11</v>
      </c>
      <c r="C84" s="3">
        <v>43645.98</v>
      </c>
      <c r="D84" s="3">
        <v>9480</v>
      </c>
      <c r="E84" s="3">
        <v>0.109</v>
      </c>
      <c r="F84" s="3">
        <v>22</v>
      </c>
      <c r="G84" s="3">
        <v>0</v>
      </c>
      <c r="H84" s="3">
        <v>0</v>
      </c>
      <c r="I84" s="3">
        <v>0</v>
      </c>
      <c r="J84" s="3">
        <f t="shared" si="3"/>
        <v>750666.63074229984</v>
      </c>
      <c r="K84" s="3">
        <f t="shared" si="4"/>
        <v>-29302.52074229985</v>
      </c>
      <c r="L84" s="1" t="str">
        <f t="shared" si="5"/>
        <v>over-predicted</v>
      </c>
    </row>
    <row r="85" spans="1:12">
      <c r="A85" s="3" t="s">
        <v>71</v>
      </c>
      <c r="B85" s="3">
        <v>574066.61</v>
      </c>
      <c r="C85" s="3">
        <v>54002.83</v>
      </c>
      <c r="D85" s="3">
        <v>4366</v>
      </c>
      <c r="E85" s="3">
        <v>2.7E-2</v>
      </c>
      <c r="F85" s="3">
        <v>15</v>
      </c>
      <c r="G85" s="3">
        <v>0</v>
      </c>
      <c r="H85" s="3">
        <v>0</v>
      </c>
      <c r="I85" s="3">
        <v>0</v>
      </c>
      <c r="J85" s="3">
        <f t="shared" si="3"/>
        <v>602857.40180754999</v>
      </c>
      <c r="K85" s="3">
        <f t="shared" si="4"/>
        <v>-28790.791807550006</v>
      </c>
      <c r="L85" s="1" t="str">
        <f t="shared" si="5"/>
        <v>over-predicted</v>
      </c>
    </row>
    <row r="86" spans="1:12">
      <c r="A86" s="3" t="s">
        <v>31</v>
      </c>
      <c r="B86" s="3">
        <v>718330.53</v>
      </c>
      <c r="C86" s="3">
        <v>61245.41</v>
      </c>
      <c r="D86" s="3">
        <v>8156</v>
      </c>
      <c r="E86" s="3">
        <v>0.156</v>
      </c>
      <c r="F86" s="3">
        <v>19</v>
      </c>
      <c r="G86" s="3">
        <v>0</v>
      </c>
      <c r="H86" s="3">
        <v>0</v>
      </c>
      <c r="I86" s="3">
        <v>1</v>
      </c>
      <c r="J86" s="3">
        <f t="shared" si="3"/>
        <v>746677.09470084996</v>
      </c>
      <c r="K86" s="3">
        <f t="shared" si="4"/>
        <v>-28346.564700849936</v>
      </c>
      <c r="L86" s="1" t="str">
        <f t="shared" si="5"/>
        <v>over-predicted</v>
      </c>
    </row>
    <row r="87" spans="1:12">
      <c r="A87" s="3" t="s">
        <v>61</v>
      </c>
      <c r="B87" s="3">
        <v>602002.31999999995</v>
      </c>
      <c r="C87" s="3">
        <v>41863.08</v>
      </c>
      <c r="D87" s="3">
        <v>5400</v>
      </c>
      <c r="E87" s="3">
        <v>0.114</v>
      </c>
      <c r="F87" s="3">
        <v>11</v>
      </c>
      <c r="G87" s="3">
        <v>0</v>
      </c>
      <c r="H87" s="3">
        <v>0</v>
      </c>
      <c r="I87" s="3">
        <v>1</v>
      </c>
      <c r="J87" s="3">
        <f t="shared" si="3"/>
        <v>628605.8790058</v>
      </c>
      <c r="K87" s="3">
        <f t="shared" si="4"/>
        <v>-26603.559005800053</v>
      </c>
      <c r="L87" s="1" t="str">
        <f t="shared" si="5"/>
        <v>over-predicted</v>
      </c>
    </row>
    <row r="88" spans="1:12">
      <c r="A88" s="3" t="s">
        <v>92</v>
      </c>
      <c r="B88" s="3">
        <v>497439.82</v>
      </c>
      <c r="C88" s="3">
        <v>18599.21</v>
      </c>
      <c r="D88" s="3">
        <v>3027</v>
      </c>
      <c r="E88" s="3">
        <v>0.122</v>
      </c>
      <c r="F88" s="3">
        <v>11</v>
      </c>
      <c r="G88" s="3">
        <v>1</v>
      </c>
      <c r="H88" s="3">
        <v>0</v>
      </c>
      <c r="I88" s="3">
        <v>0</v>
      </c>
      <c r="J88" s="3">
        <f t="shared" si="3"/>
        <v>523854.50881584996</v>
      </c>
      <c r="K88" s="3">
        <f t="shared" si="4"/>
        <v>-26414.68881584995</v>
      </c>
      <c r="L88" s="1" t="str">
        <f t="shared" si="5"/>
        <v>over-predicted</v>
      </c>
    </row>
    <row r="89" spans="1:12">
      <c r="A89" s="3" t="s">
        <v>67</v>
      </c>
      <c r="B89" s="3">
        <v>761077.08</v>
      </c>
      <c r="C89" s="3">
        <v>63010.23</v>
      </c>
      <c r="D89" s="3">
        <v>9812</v>
      </c>
      <c r="E89" s="3">
        <v>0.113</v>
      </c>
      <c r="F89" s="3">
        <v>24</v>
      </c>
      <c r="G89" s="3">
        <v>0</v>
      </c>
      <c r="H89" s="3">
        <v>0</v>
      </c>
      <c r="I89" s="3">
        <v>0</v>
      </c>
      <c r="J89" s="3">
        <f t="shared" si="3"/>
        <v>786514.01482854981</v>
      </c>
      <c r="K89" s="3">
        <f t="shared" si="4"/>
        <v>-25436.934828549856</v>
      </c>
      <c r="L89" s="1" t="str">
        <f t="shared" si="5"/>
        <v>over-predicted</v>
      </c>
    </row>
    <row r="90" spans="1:12">
      <c r="A90" s="3" t="s">
        <v>54</v>
      </c>
      <c r="B90" s="3">
        <v>801830.35</v>
      </c>
      <c r="C90" s="3">
        <v>68410.929999999993</v>
      </c>
      <c r="D90" s="3">
        <v>10596</v>
      </c>
      <c r="E90" s="3">
        <v>0.20699999999999999</v>
      </c>
      <c r="F90" s="3">
        <v>25</v>
      </c>
      <c r="G90" s="3">
        <v>1</v>
      </c>
      <c r="H90" s="3">
        <v>0</v>
      </c>
      <c r="I90" s="3">
        <v>0</v>
      </c>
      <c r="J90" s="3">
        <f t="shared" si="3"/>
        <v>827193.36084604997</v>
      </c>
      <c r="K90" s="3">
        <f t="shared" si="4"/>
        <v>-25363.010846049991</v>
      </c>
      <c r="L90" s="1" t="str">
        <f t="shared" si="5"/>
        <v>over-predicted</v>
      </c>
    </row>
    <row r="91" spans="1:12">
      <c r="A91" s="3" t="s">
        <v>31</v>
      </c>
      <c r="B91" s="3">
        <v>736633.4</v>
      </c>
      <c r="C91" s="3">
        <v>93381.26</v>
      </c>
      <c r="D91" s="3">
        <v>7562</v>
      </c>
      <c r="E91" s="3">
        <v>0.19800000000000001</v>
      </c>
      <c r="F91" s="3">
        <v>19</v>
      </c>
      <c r="G91" s="3">
        <v>0</v>
      </c>
      <c r="H91" s="3">
        <v>0</v>
      </c>
      <c r="I91" s="3">
        <v>1</v>
      </c>
      <c r="J91" s="3">
        <f t="shared" si="3"/>
        <v>761764.52799309988</v>
      </c>
      <c r="K91" s="3">
        <f t="shared" si="4"/>
        <v>-25131.127993099857</v>
      </c>
      <c r="L91" s="1" t="str">
        <f t="shared" si="5"/>
        <v>over-predicted</v>
      </c>
    </row>
    <row r="92" spans="1:12">
      <c r="A92" s="3" t="s">
        <v>51</v>
      </c>
      <c r="B92" s="3">
        <v>684217.32</v>
      </c>
      <c r="C92" s="3">
        <v>42415.47</v>
      </c>
      <c r="D92" s="3">
        <v>8512</v>
      </c>
      <c r="E92" s="3">
        <v>0.13300000000000001</v>
      </c>
      <c r="F92" s="3">
        <v>18</v>
      </c>
      <c r="G92" s="3">
        <v>0</v>
      </c>
      <c r="H92" s="3">
        <v>0</v>
      </c>
      <c r="I92" s="3">
        <v>0</v>
      </c>
      <c r="J92" s="3">
        <f t="shared" si="3"/>
        <v>709302.02950994985</v>
      </c>
      <c r="K92" s="3">
        <f t="shared" si="4"/>
        <v>-25084.709509949898</v>
      </c>
      <c r="L92" s="1" t="str">
        <f t="shared" si="5"/>
        <v>over-predicted</v>
      </c>
    </row>
    <row r="93" spans="1:12">
      <c r="A93" s="3" t="s">
        <v>65</v>
      </c>
      <c r="B93" s="3">
        <v>758138.29</v>
      </c>
      <c r="C93" s="3">
        <v>68040.149999999994</v>
      </c>
      <c r="D93" s="3">
        <v>9826</v>
      </c>
      <c r="E93" s="3">
        <v>0.125</v>
      </c>
      <c r="F93" s="3">
        <v>20</v>
      </c>
      <c r="G93" s="3">
        <v>0</v>
      </c>
      <c r="H93" s="3">
        <v>0</v>
      </c>
      <c r="I93" s="3">
        <v>0</v>
      </c>
      <c r="J93" s="3">
        <f t="shared" si="3"/>
        <v>781703.0043517499</v>
      </c>
      <c r="K93" s="3">
        <f t="shared" si="4"/>
        <v>-23564.714351749863</v>
      </c>
      <c r="L93" s="1" t="str">
        <f t="shared" si="5"/>
        <v>over-predicted</v>
      </c>
    </row>
    <row r="94" spans="1:12">
      <c r="A94" s="3" t="s">
        <v>58</v>
      </c>
      <c r="B94" s="3">
        <v>577732.56999999995</v>
      </c>
      <c r="C94" s="3">
        <v>70488.2</v>
      </c>
      <c r="D94" s="3">
        <v>4312</v>
      </c>
      <c r="E94" s="3">
        <v>0.16900000000000001</v>
      </c>
      <c r="F94" s="3">
        <v>12</v>
      </c>
      <c r="G94" s="3">
        <v>0</v>
      </c>
      <c r="H94" s="3">
        <v>0</v>
      </c>
      <c r="I94" s="3">
        <v>0</v>
      </c>
      <c r="J94" s="3">
        <f t="shared" si="3"/>
        <v>600616.34961699997</v>
      </c>
      <c r="K94" s="3">
        <f t="shared" si="4"/>
        <v>-22883.779617000022</v>
      </c>
      <c r="L94" s="1" t="str">
        <f t="shared" si="5"/>
        <v>over-predicted</v>
      </c>
    </row>
    <row r="95" spans="1:12">
      <c r="A95" s="3" t="s">
        <v>19</v>
      </c>
      <c r="B95" s="3">
        <v>779010.94</v>
      </c>
      <c r="C95" s="3">
        <v>68133.440000000002</v>
      </c>
      <c r="D95" s="3">
        <v>9459</v>
      </c>
      <c r="E95" s="3">
        <v>0.22</v>
      </c>
      <c r="F95" s="3">
        <v>21</v>
      </c>
      <c r="G95" s="3">
        <v>0</v>
      </c>
      <c r="H95" s="3">
        <v>1</v>
      </c>
      <c r="I95" s="3">
        <v>0</v>
      </c>
      <c r="J95" s="3">
        <f t="shared" si="3"/>
        <v>801390.13524439989</v>
      </c>
      <c r="K95" s="3">
        <f t="shared" si="4"/>
        <v>-22379.195244399947</v>
      </c>
      <c r="L95" s="1" t="str">
        <f t="shared" si="5"/>
        <v>over-predicted</v>
      </c>
    </row>
    <row r="96" spans="1:12">
      <c r="A96" s="3" t="s">
        <v>53</v>
      </c>
      <c r="B96" s="3">
        <v>697155.3</v>
      </c>
      <c r="C96" s="3">
        <v>37828.5</v>
      </c>
      <c r="D96" s="3">
        <v>8221</v>
      </c>
      <c r="E96" s="3">
        <v>9.6000000000000002E-2</v>
      </c>
      <c r="F96" s="3">
        <v>19</v>
      </c>
      <c r="G96" s="3">
        <v>1</v>
      </c>
      <c r="H96" s="3">
        <v>0</v>
      </c>
      <c r="I96" s="3">
        <v>0</v>
      </c>
      <c r="J96" s="3">
        <f t="shared" si="3"/>
        <v>718316.27523449995</v>
      </c>
      <c r="K96" s="3">
        <f t="shared" si="4"/>
        <v>-21160.9752344999</v>
      </c>
      <c r="L96" s="1" t="str">
        <f t="shared" si="5"/>
        <v>over-predicted</v>
      </c>
    </row>
    <row r="97" spans="1:12">
      <c r="A97" s="3" t="s">
        <v>17</v>
      </c>
      <c r="B97" s="3">
        <v>741341.44</v>
      </c>
      <c r="C97" s="3">
        <v>48412.639999999999</v>
      </c>
      <c r="D97" s="3">
        <v>9545</v>
      </c>
      <c r="E97" s="3">
        <v>0.23100000000000001</v>
      </c>
      <c r="F97" s="3">
        <v>21</v>
      </c>
      <c r="G97" s="3">
        <v>1</v>
      </c>
      <c r="H97" s="3">
        <v>0</v>
      </c>
      <c r="I97" s="3">
        <v>0</v>
      </c>
      <c r="J97" s="3">
        <f t="shared" si="3"/>
        <v>762486.74064840015</v>
      </c>
      <c r="K97" s="3">
        <f t="shared" si="4"/>
        <v>-21145.300648400211</v>
      </c>
      <c r="L97" s="1" t="str">
        <f t="shared" si="5"/>
        <v>over-predicted</v>
      </c>
    </row>
    <row r="98" spans="1:12">
      <c r="A98" s="3" t="s">
        <v>49</v>
      </c>
      <c r="B98" s="3">
        <v>709478.39</v>
      </c>
      <c r="C98" s="3">
        <v>75265.02</v>
      </c>
      <c r="D98" s="3">
        <v>6975</v>
      </c>
      <c r="E98" s="3">
        <v>0.157</v>
      </c>
      <c r="F98" s="3">
        <v>20</v>
      </c>
      <c r="G98" s="3">
        <v>0</v>
      </c>
      <c r="H98" s="3">
        <v>0</v>
      </c>
      <c r="I98" s="3">
        <v>1</v>
      </c>
      <c r="J98" s="3">
        <f t="shared" si="3"/>
        <v>730306.47235069994</v>
      </c>
      <c r="K98" s="3">
        <f t="shared" si="4"/>
        <v>-20828.08235069993</v>
      </c>
      <c r="L98" s="1" t="str">
        <f t="shared" si="5"/>
        <v>over-predicted</v>
      </c>
    </row>
    <row r="99" spans="1:12">
      <c r="A99" s="3" t="s">
        <v>49</v>
      </c>
      <c r="B99" s="3">
        <v>633494.21</v>
      </c>
      <c r="C99" s="3">
        <v>51056.15</v>
      </c>
      <c r="D99" s="3">
        <v>5686</v>
      </c>
      <c r="E99" s="3">
        <v>8.8999999999999996E-2</v>
      </c>
      <c r="F99" s="3">
        <v>13</v>
      </c>
      <c r="G99" s="3">
        <v>0</v>
      </c>
      <c r="H99" s="3">
        <v>0</v>
      </c>
      <c r="I99" s="3">
        <v>1</v>
      </c>
      <c r="J99" s="3">
        <f t="shared" si="3"/>
        <v>654156.63750375004</v>
      </c>
      <c r="K99" s="3">
        <f t="shared" si="4"/>
        <v>-20662.427503750077</v>
      </c>
      <c r="L99" s="1" t="str">
        <f t="shared" si="5"/>
        <v>over-predicted</v>
      </c>
    </row>
    <row r="100" spans="1:12">
      <c r="A100" s="3" t="s">
        <v>74</v>
      </c>
      <c r="B100" s="3">
        <v>946833.54</v>
      </c>
      <c r="C100" s="3">
        <v>107970.19</v>
      </c>
      <c r="D100" s="3">
        <v>12870</v>
      </c>
      <c r="E100" s="3">
        <v>2.9000000000000001E-2</v>
      </c>
      <c r="F100" s="3">
        <v>31</v>
      </c>
      <c r="G100" s="3">
        <v>1</v>
      </c>
      <c r="H100" s="3">
        <v>0</v>
      </c>
      <c r="I100" s="3">
        <v>0</v>
      </c>
      <c r="J100" s="3">
        <f t="shared" si="3"/>
        <v>966889.07764915004</v>
      </c>
      <c r="K100" s="3">
        <f t="shared" si="4"/>
        <v>-20055.537649150006</v>
      </c>
      <c r="L100" s="1" t="str">
        <f t="shared" si="5"/>
        <v>over-predicted</v>
      </c>
    </row>
    <row r="101" spans="1:12">
      <c r="A101" s="3" t="s">
        <v>91</v>
      </c>
      <c r="B101" s="3">
        <v>761122.42</v>
      </c>
      <c r="C101" s="3">
        <v>70284.06</v>
      </c>
      <c r="D101" s="3">
        <v>9109</v>
      </c>
      <c r="E101" s="3">
        <v>4.0000000000000001E-3</v>
      </c>
      <c r="F101" s="3">
        <v>23</v>
      </c>
      <c r="G101" s="3">
        <v>0</v>
      </c>
      <c r="H101" s="3">
        <v>0</v>
      </c>
      <c r="I101" s="3">
        <v>0</v>
      </c>
      <c r="J101" s="3">
        <f t="shared" si="3"/>
        <v>780656.45709709998</v>
      </c>
      <c r="K101" s="3">
        <f t="shared" si="4"/>
        <v>-19534.037097099936</v>
      </c>
      <c r="L101" s="1" t="str">
        <f t="shared" si="5"/>
        <v>over-predicted</v>
      </c>
    </row>
    <row r="102" spans="1:12">
      <c r="A102" s="3" t="s">
        <v>58</v>
      </c>
      <c r="B102" s="3">
        <v>537058.32999999996</v>
      </c>
      <c r="C102" s="3">
        <v>50909.27</v>
      </c>
      <c r="D102" s="3">
        <v>3152</v>
      </c>
      <c r="E102" s="3">
        <v>0.06</v>
      </c>
      <c r="F102" s="3">
        <v>13</v>
      </c>
      <c r="G102" s="3">
        <v>0</v>
      </c>
      <c r="H102" s="3">
        <v>0</v>
      </c>
      <c r="I102" s="3">
        <v>0</v>
      </c>
      <c r="J102" s="3">
        <f t="shared" si="3"/>
        <v>556434.91989895003</v>
      </c>
      <c r="K102" s="3">
        <f t="shared" si="4"/>
        <v>-19376.589898950071</v>
      </c>
      <c r="L102" s="1" t="str">
        <f t="shared" si="5"/>
        <v>over-predicted</v>
      </c>
    </row>
    <row r="103" spans="1:12">
      <c r="A103" s="3" t="s">
        <v>66</v>
      </c>
      <c r="B103" s="3">
        <v>887537.75</v>
      </c>
      <c r="C103" s="3">
        <v>67494.09</v>
      </c>
      <c r="D103" s="3">
        <v>12361</v>
      </c>
      <c r="E103" s="3">
        <v>4.5999999999999999E-2</v>
      </c>
      <c r="F103" s="3">
        <v>24</v>
      </c>
      <c r="G103" s="3">
        <v>0</v>
      </c>
      <c r="H103" s="3">
        <v>1</v>
      </c>
      <c r="I103" s="3">
        <v>0</v>
      </c>
      <c r="J103" s="3">
        <f t="shared" si="3"/>
        <v>906837.56726064987</v>
      </c>
      <c r="K103" s="3">
        <f t="shared" si="4"/>
        <v>-19299.81726064987</v>
      </c>
      <c r="L103" s="1" t="str">
        <f t="shared" si="5"/>
        <v>over-predicted</v>
      </c>
    </row>
    <row r="104" spans="1:12">
      <c r="A104" s="3" t="s">
        <v>94</v>
      </c>
      <c r="B104" s="3">
        <v>696261.49</v>
      </c>
      <c r="C104" s="3">
        <v>68909.259999999995</v>
      </c>
      <c r="D104" s="3">
        <v>7794</v>
      </c>
      <c r="E104" s="3">
        <v>0.28399999999999997</v>
      </c>
      <c r="F104" s="3">
        <v>22</v>
      </c>
      <c r="G104" s="3">
        <v>0</v>
      </c>
      <c r="H104" s="3">
        <v>0</v>
      </c>
      <c r="I104" s="3">
        <v>0</v>
      </c>
      <c r="J104" s="3">
        <f t="shared" si="3"/>
        <v>715372.02024909982</v>
      </c>
      <c r="K104" s="3">
        <f t="shared" si="4"/>
        <v>-19110.530249099829</v>
      </c>
      <c r="L104" s="1" t="str">
        <f t="shared" si="5"/>
        <v>over-predicted</v>
      </c>
    </row>
    <row r="105" spans="1:12">
      <c r="A105" s="3" t="s">
        <v>74</v>
      </c>
      <c r="B105" s="3">
        <v>761963.23</v>
      </c>
      <c r="C105" s="3">
        <v>49405.75</v>
      </c>
      <c r="D105" s="3">
        <v>9752</v>
      </c>
      <c r="E105" s="3">
        <v>9.2999999999999999E-2</v>
      </c>
      <c r="F105" s="3">
        <v>21</v>
      </c>
      <c r="G105" s="3">
        <v>1</v>
      </c>
      <c r="H105" s="3">
        <v>0</v>
      </c>
      <c r="I105" s="3">
        <v>0</v>
      </c>
      <c r="J105" s="3">
        <f t="shared" si="3"/>
        <v>780960.80009575002</v>
      </c>
      <c r="K105" s="3">
        <f t="shared" si="4"/>
        <v>-18997.570095750038</v>
      </c>
      <c r="L105" s="1" t="str">
        <f t="shared" si="5"/>
        <v>over-predicted</v>
      </c>
    </row>
    <row r="106" spans="1:12">
      <c r="A106" s="3" t="s">
        <v>36</v>
      </c>
      <c r="B106" s="3">
        <v>518049.26</v>
      </c>
      <c r="C106" s="3">
        <v>19365.060000000001</v>
      </c>
      <c r="D106" s="3">
        <v>2378</v>
      </c>
      <c r="E106" s="3">
        <v>0</v>
      </c>
      <c r="F106" s="3">
        <v>12</v>
      </c>
      <c r="G106" s="3">
        <v>0</v>
      </c>
      <c r="H106" s="3">
        <v>1</v>
      </c>
      <c r="I106" s="3">
        <v>0</v>
      </c>
      <c r="J106" s="3">
        <f t="shared" si="3"/>
        <v>536815.91963609995</v>
      </c>
      <c r="K106" s="3">
        <f t="shared" si="4"/>
        <v>-18766.659636099939</v>
      </c>
      <c r="L106" s="1" t="str">
        <f t="shared" si="5"/>
        <v>over-predicted</v>
      </c>
    </row>
    <row r="107" spans="1:12">
      <c r="A107" s="3" t="s">
        <v>29</v>
      </c>
      <c r="B107" s="3">
        <v>500173.02</v>
      </c>
      <c r="C107" s="3">
        <v>44970.080000000002</v>
      </c>
      <c r="D107" s="3">
        <v>2471</v>
      </c>
      <c r="E107" s="3">
        <v>0.13600000000000001</v>
      </c>
      <c r="F107" s="3">
        <v>11</v>
      </c>
      <c r="G107" s="3">
        <v>0</v>
      </c>
      <c r="H107" s="3">
        <v>0</v>
      </c>
      <c r="I107" s="3">
        <v>0</v>
      </c>
      <c r="J107" s="3">
        <f t="shared" si="3"/>
        <v>518822.13703079993</v>
      </c>
      <c r="K107" s="3">
        <f t="shared" si="4"/>
        <v>-18649.117030799913</v>
      </c>
      <c r="L107" s="1" t="str">
        <f t="shared" si="5"/>
        <v>over-predicted</v>
      </c>
    </row>
    <row r="108" spans="1:12">
      <c r="A108" s="3" t="s">
        <v>71</v>
      </c>
      <c r="B108" s="3">
        <v>578949.84</v>
      </c>
      <c r="C108" s="3">
        <v>54479.33</v>
      </c>
      <c r="D108" s="3">
        <v>5012</v>
      </c>
      <c r="E108" s="3">
        <v>0.28399999999999997</v>
      </c>
      <c r="F108" s="3">
        <v>13</v>
      </c>
      <c r="G108" s="3">
        <v>0</v>
      </c>
      <c r="H108" s="3">
        <v>0</v>
      </c>
      <c r="I108" s="3">
        <v>0</v>
      </c>
      <c r="J108" s="3">
        <f t="shared" si="3"/>
        <v>596154.05932004994</v>
      </c>
      <c r="K108" s="3">
        <f t="shared" si="4"/>
        <v>-17204.219320049975</v>
      </c>
      <c r="L108" s="1" t="str">
        <f t="shared" si="5"/>
        <v>over-predicted</v>
      </c>
    </row>
    <row r="109" spans="1:12">
      <c r="A109" s="3" t="s">
        <v>98</v>
      </c>
      <c r="B109" s="3">
        <v>651164.18000000005</v>
      </c>
      <c r="C109" s="3">
        <v>60684.05</v>
      </c>
      <c r="D109" s="3">
        <v>6399</v>
      </c>
      <c r="E109" s="3">
        <v>7.4999999999999997E-2</v>
      </c>
      <c r="F109" s="3">
        <v>16</v>
      </c>
      <c r="G109" s="3">
        <v>0</v>
      </c>
      <c r="H109" s="3">
        <v>0</v>
      </c>
      <c r="I109" s="3">
        <v>0</v>
      </c>
      <c r="J109" s="3">
        <f t="shared" si="3"/>
        <v>668005.40503525001</v>
      </c>
      <c r="K109" s="3">
        <f t="shared" si="4"/>
        <v>-16841.225035249954</v>
      </c>
      <c r="L109" s="1" t="str">
        <f t="shared" si="5"/>
        <v>over-predicted</v>
      </c>
    </row>
    <row r="110" spans="1:12">
      <c r="A110" s="3" t="s">
        <v>43</v>
      </c>
      <c r="B110" s="3">
        <v>450711.92</v>
      </c>
      <c r="C110" s="3">
        <v>18996.32</v>
      </c>
      <c r="D110" s="3">
        <v>1260</v>
      </c>
      <c r="E110" s="3">
        <v>0.14499999999999999</v>
      </c>
      <c r="F110" s="3">
        <v>9</v>
      </c>
      <c r="G110" s="3">
        <v>1</v>
      </c>
      <c r="H110" s="3">
        <v>0</v>
      </c>
      <c r="I110" s="3">
        <v>0</v>
      </c>
      <c r="J110" s="3">
        <f t="shared" si="3"/>
        <v>466047.39675520005</v>
      </c>
      <c r="K110" s="3">
        <f t="shared" si="4"/>
        <v>-15335.47675520007</v>
      </c>
      <c r="L110" s="1" t="str">
        <f t="shared" si="5"/>
        <v>over-predicted</v>
      </c>
    </row>
    <row r="111" spans="1:12">
      <c r="A111" s="3" t="s">
        <v>93</v>
      </c>
      <c r="B111" s="3">
        <v>548103.69999999995</v>
      </c>
      <c r="C111" s="3">
        <v>40928.69</v>
      </c>
      <c r="D111" s="3">
        <v>4094</v>
      </c>
      <c r="E111" s="3">
        <v>0.17399999999999999</v>
      </c>
      <c r="F111" s="3">
        <v>13</v>
      </c>
      <c r="G111" s="3">
        <v>0</v>
      </c>
      <c r="H111" s="3">
        <v>0</v>
      </c>
      <c r="I111" s="3">
        <v>0</v>
      </c>
      <c r="J111" s="3">
        <f t="shared" si="3"/>
        <v>563360.98612765002</v>
      </c>
      <c r="K111" s="3">
        <f t="shared" si="4"/>
        <v>-15257.286127650063</v>
      </c>
      <c r="L111" s="1" t="str">
        <f t="shared" si="5"/>
        <v>over-predicted</v>
      </c>
    </row>
    <row r="112" spans="1:12">
      <c r="A112" s="3" t="s">
        <v>81</v>
      </c>
      <c r="B112" s="3">
        <v>810355.02</v>
      </c>
      <c r="C112" s="3">
        <v>72961.95</v>
      </c>
      <c r="D112" s="3">
        <v>9996</v>
      </c>
      <c r="E112" s="3">
        <v>0.106</v>
      </c>
      <c r="F112" s="3">
        <v>22</v>
      </c>
      <c r="G112" s="3">
        <v>0</v>
      </c>
      <c r="H112" s="3">
        <v>0</v>
      </c>
      <c r="I112" s="3">
        <v>1</v>
      </c>
      <c r="J112" s="3">
        <f t="shared" si="3"/>
        <v>824794.87601274985</v>
      </c>
      <c r="K112" s="3">
        <f t="shared" si="4"/>
        <v>-14439.856012749835</v>
      </c>
      <c r="L112" s="1" t="str">
        <f t="shared" si="5"/>
        <v>over-predicted</v>
      </c>
    </row>
    <row r="113" spans="1:12">
      <c r="A113" s="3" t="s">
        <v>34</v>
      </c>
      <c r="B113" s="3">
        <v>625672.86</v>
      </c>
      <c r="C113" s="3">
        <v>48287.85</v>
      </c>
      <c r="D113" s="3">
        <v>5150</v>
      </c>
      <c r="E113" s="3">
        <v>8.0000000000000002E-3</v>
      </c>
      <c r="F113" s="3">
        <v>12</v>
      </c>
      <c r="G113" s="3">
        <v>0</v>
      </c>
      <c r="H113" s="3">
        <v>0</v>
      </c>
      <c r="I113" s="3">
        <v>1</v>
      </c>
      <c r="J113" s="3">
        <f t="shared" si="3"/>
        <v>639662.79687624995</v>
      </c>
      <c r="K113" s="3">
        <f t="shared" si="4"/>
        <v>-13989.936876249965</v>
      </c>
      <c r="L113" s="1" t="str">
        <f t="shared" si="5"/>
        <v>over-predicted</v>
      </c>
    </row>
    <row r="114" spans="1:12">
      <c r="A114" s="3" t="s">
        <v>73</v>
      </c>
      <c r="B114" s="3">
        <v>825060.52</v>
      </c>
      <c r="C114" s="3">
        <v>92090.14</v>
      </c>
      <c r="D114" s="3">
        <v>9476</v>
      </c>
      <c r="E114" s="3">
        <v>7.0000000000000007E-2</v>
      </c>
      <c r="F114" s="3">
        <v>24</v>
      </c>
      <c r="G114" s="3">
        <v>0</v>
      </c>
      <c r="H114" s="3">
        <v>0</v>
      </c>
      <c r="I114" s="3">
        <v>1</v>
      </c>
      <c r="J114" s="3">
        <f t="shared" si="3"/>
        <v>838863.52681189985</v>
      </c>
      <c r="K114" s="3">
        <f t="shared" si="4"/>
        <v>-13803.006811899832</v>
      </c>
      <c r="L114" s="1" t="str">
        <f t="shared" si="5"/>
        <v>over-predicted</v>
      </c>
    </row>
    <row r="115" spans="1:12">
      <c r="A115" s="3" t="s">
        <v>90</v>
      </c>
      <c r="B115" s="3">
        <v>635837.74</v>
      </c>
      <c r="C115" s="3">
        <v>47648.71</v>
      </c>
      <c r="D115" s="3">
        <v>5767</v>
      </c>
      <c r="E115" s="3">
        <v>0.14099999999999999</v>
      </c>
      <c r="F115" s="3">
        <v>17</v>
      </c>
      <c r="G115" s="3">
        <v>1</v>
      </c>
      <c r="H115" s="3">
        <v>0</v>
      </c>
      <c r="I115" s="3">
        <v>0</v>
      </c>
      <c r="J115" s="3">
        <f t="shared" si="3"/>
        <v>649208.47022534988</v>
      </c>
      <c r="K115" s="3">
        <f t="shared" si="4"/>
        <v>-13370.730225349893</v>
      </c>
      <c r="L115" s="1" t="str">
        <f t="shared" si="5"/>
        <v>over-predicted</v>
      </c>
    </row>
    <row r="116" spans="1:12">
      <c r="A116" s="3" t="s">
        <v>22</v>
      </c>
      <c r="B116" s="3">
        <v>834017.02</v>
      </c>
      <c r="C116" s="3">
        <v>75305.710000000006</v>
      </c>
      <c r="D116" s="3">
        <v>10940</v>
      </c>
      <c r="E116" s="3">
        <v>6.0000000000000001E-3</v>
      </c>
      <c r="F116" s="3">
        <v>26</v>
      </c>
      <c r="G116" s="3">
        <v>0</v>
      </c>
      <c r="H116" s="3">
        <v>0</v>
      </c>
      <c r="I116" s="3">
        <v>0</v>
      </c>
      <c r="J116" s="3">
        <f t="shared" si="3"/>
        <v>846774.21083234996</v>
      </c>
      <c r="K116" s="3">
        <f t="shared" si="4"/>
        <v>-12757.190832349937</v>
      </c>
      <c r="L116" s="1" t="str">
        <f t="shared" si="5"/>
        <v>over-predicted</v>
      </c>
    </row>
    <row r="117" spans="1:12">
      <c r="A117" s="3" t="s">
        <v>90</v>
      </c>
      <c r="B117" s="3">
        <v>645039.97</v>
      </c>
      <c r="C117" s="3">
        <v>50532.17</v>
      </c>
      <c r="D117" s="3">
        <v>5689</v>
      </c>
      <c r="E117" s="3">
        <v>5.1999999999999998E-2</v>
      </c>
      <c r="F117" s="3">
        <v>17</v>
      </c>
      <c r="G117" s="3">
        <v>1</v>
      </c>
      <c r="H117" s="3">
        <v>0</v>
      </c>
      <c r="I117" s="3">
        <v>0</v>
      </c>
      <c r="J117" s="3">
        <f t="shared" si="3"/>
        <v>657466.77540944994</v>
      </c>
      <c r="K117" s="3">
        <f t="shared" si="4"/>
        <v>-12426.805409449968</v>
      </c>
      <c r="L117" s="1" t="str">
        <f t="shared" si="5"/>
        <v>over-predicted</v>
      </c>
    </row>
    <row r="118" spans="1:12">
      <c r="A118" s="3" t="s">
        <v>46</v>
      </c>
      <c r="B118" s="3">
        <v>605775.32999999996</v>
      </c>
      <c r="C118" s="3">
        <v>38752.800000000003</v>
      </c>
      <c r="D118" s="3">
        <v>4712</v>
      </c>
      <c r="E118" s="3">
        <v>7.4999999999999997E-2</v>
      </c>
      <c r="F118" s="3">
        <v>15</v>
      </c>
      <c r="G118" s="3">
        <v>0</v>
      </c>
      <c r="H118" s="3">
        <v>0</v>
      </c>
      <c r="I118" s="3">
        <v>1</v>
      </c>
      <c r="J118" s="3">
        <f t="shared" si="3"/>
        <v>618155.18345599994</v>
      </c>
      <c r="K118" s="3">
        <f t="shared" si="4"/>
        <v>-12379.853455999983</v>
      </c>
      <c r="L118" s="1" t="str">
        <f t="shared" si="5"/>
        <v>over-predicted</v>
      </c>
    </row>
    <row r="119" spans="1:12">
      <c r="A119" s="3" t="s">
        <v>43</v>
      </c>
      <c r="B119" s="3">
        <v>611766.72</v>
      </c>
      <c r="C119" s="3">
        <v>88443.77</v>
      </c>
      <c r="D119" s="3">
        <v>4004</v>
      </c>
      <c r="E119" s="3">
        <v>0.20599999999999999</v>
      </c>
      <c r="F119" s="3">
        <v>11</v>
      </c>
      <c r="G119" s="3">
        <v>1</v>
      </c>
      <c r="H119" s="3">
        <v>0</v>
      </c>
      <c r="I119" s="3">
        <v>0</v>
      </c>
      <c r="J119" s="3">
        <f t="shared" si="3"/>
        <v>623268.67911745002</v>
      </c>
      <c r="K119" s="3">
        <f t="shared" si="4"/>
        <v>-11501.959117450053</v>
      </c>
      <c r="L119" s="1" t="str">
        <f t="shared" si="5"/>
        <v>over-predicted</v>
      </c>
    </row>
    <row r="120" spans="1:12">
      <c r="A120" s="3" t="s">
        <v>60</v>
      </c>
      <c r="B120" s="3">
        <v>785028.25</v>
      </c>
      <c r="C120" s="3">
        <v>75645.23</v>
      </c>
      <c r="D120" s="3">
        <v>9674</v>
      </c>
      <c r="E120" s="3">
        <v>0.23400000000000001</v>
      </c>
      <c r="F120" s="3">
        <v>21</v>
      </c>
      <c r="G120" s="3">
        <v>1</v>
      </c>
      <c r="H120" s="3">
        <v>0</v>
      </c>
      <c r="I120" s="3">
        <v>0</v>
      </c>
      <c r="J120" s="3">
        <f t="shared" si="3"/>
        <v>796359.47087954998</v>
      </c>
      <c r="K120" s="3">
        <f t="shared" si="4"/>
        <v>-11331.220879549976</v>
      </c>
      <c r="L120" s="1" t="str">
        <f t="shared" si="5"/>
        <v>over-predicted</v>
      </c>
    </row>
    <row r="121" spans="1:12">
      <c r="A121" s="3" t="s">
        <v>97</v>
      </c>
      <c r="B121" s="3">
        <v>730890.01</v>
      </c>
      <c r="C121" s="3">
        <v>52843.75</v>
      </c>
      <c r="D121" s="3">
        <v>8268</v>
      </c>
      <c r="E121" s="3">
        <v>0.13800000000000001</v>
      </c>
      <c r="F121" s="3">
        <v>19</v>
      </c>
      <c r="G121" s="3">
        <v>0</v>
      </c>
      <c r="H121" s="3">
        <v>0</v>
      </c>
      <c r="I121" s="3">
        <v>1</v>
      </c>
      <c r="J121" s="3">
        <f t="shared" si="3"/>
        <v>742049.04704974988</v>
      </c>
      <c r="K121" s="3">
        <f t="shared" si="4"/>
        <v>-11159.037049749866</v>
      </c>
      <c r="L121" s="1" t="str">
        <f t="shared" si="5"/>
        <v>over-predicted</v>
      </c>
    </row>
    <row r="122" spans="1:12">
      <c r="A122" s="3" t="s">
        <v>23</v>
      </c>
      <c r="B122" s="3">
        <v>666152.52</v>
      </c>
      <c r="C122" s="3">
        <v>48804.22</v>
      </c>
      <c r="D122" s="3">
        <v>7057</v>
      </c>
      <c r="E122" s="3">
        <v>5.0000000000000001E-3</v>
      </c>
      <c r="F122" s="3">
        <v>15</v>
      </c>
      <c r="G122" s="3">
        <v>0</v>
      </c>
      <c r="H122" s="3">
        <v>0</v>
      </c>
      <c r="I122" s="3">
        <v>0</v>
      </c>
      <c r="J122" s="3">
        <f t="shared" si="3"/>
        <v>677207.09035469999</v>
      </c>
      <c r="K122" s="3">
        <f t="shared" si="4"/>
        <v>-11054.570354699972</v>
      </c>
      <c r="L122" s="1" t="str">
        <f t="shared" si="5"/>
        <v>over-predicted</v>
      </c>
    </row>
    <row r="123" spans="1:12">
      <c r="A123" s="3" t="s">
        <v>96</v>
      </c>
      <c r="B123" s="3">
        <v>599017.32999999996</v>
      </c>
      <c r="C123" s="3">
        <v>46174.7</v>
      </c>
      <c r="D123" s="3">
        <v>4898</v>
      </c>
      <c r="E123" s="3">
        <v>0.114</v>
      </c>
      <c r="F123" s="3">
        <v>11</v>
      </c>
      <c r="G123" s="3">
        <v>1</v>
      </c>
      <c r="H123" s="3">
        <v>0</v>
      </c>
      <c r="I123" s="3">
        <v>0</v>
      </c>
      <c r="J123" s="3">
        <f t="shared" si="3"/>
        <v>609725.17032349994</v>
      </c>
      <c r="K123" s="3">
        <f t="shared" si="4"/>
        <v>-10707.840323499986</v>
      </c>
      <c r="L123" s="1" t="str">
        <f t="shared" si="5"/>
        <v>over-predicted</v>
      </c>
    </row>
    <row r="124" spans="1:12">
      <c r="A124" s="3" t="s">
        <v>32</v>
      </c>
      <c r="B124" s="3">
        <v>605178</v>
      </c>
      <c r="C124" s="3">
        <v>64882.14</v>
      </c>
      <c r="D124" s="3">
        <v>3642</v>
      </c>
      <c r="E124" s="3">
        <v>1.9E-2</v>
      </c>
      <c r="F124" s="3">
        <v>13</v>
      </c>
      <c r="G124" s="3">
        <v>0</v>
      </c>
      <c r="H124" s="3">
        <v>0</v>
      </c>
      <c r="I124" s="3">
        <v>1</v>
      </c>
      <c r="J124" s="3">
        <f t="shared" si="3"/>
        <v>615821.76342789992</v>
      </c>
      <c r="K124" s="3">
        <f t="shared" si="4"/>
        <v>-10643.763427899918</v>
      </c>
      <c r="L124" s="1" t="str">
        <f t="shared" si="5"/>
        <v>over-predicted</v>
      </c>
    </row>
    <row r="125" spans="1:12">
      <c r="A125" s="3" t="s">
        <v>94</v>
      </c>
      <c r="B125" s="3">
        <v>729424.42</v>
      </c>
      <c r="C125" s="3">
        <v>70012.41</v>
      </c>
      <c r="D125" s="3">
        <v>8484</v>
      </c>
      <c r="E125" s="3">
        <v>0.27300000000000002</v>
      </c>
      <c r="F125" s="3">
        <v>23</v>
      </c>
      <c r="G125" s="3">
        <v>0</v>
      </c>
      <c r="H125" s="3">
        <v>0</v>
      </c>
      <c r="I125" s="3">
        <v>0</v>
      </c>
      <c r="J125" s="3">
        <f t="shared" si="3"/>
        <v>740052.85986385006</v>
      </c>
      <c r="K125" s="3">
        <f t="shared" si="4"/>
        <v>-10628.439863850013</v>
      </c>
      <c r="L125" s="1" t="str">
        <f t="shared" si="5"/>
        <v>over-predicted</v>
      </c>
    </row>
    <row r="126" spans="1:12">
      <c r="A126" s="3" t="s">
        <v>99</v>
      </c>
      <c r="B126" s="3">
        <v>621677.30000000005</v>
      </c>
      <c r="C126" s="3">
        <v>54322.94</v>
      </c>
      <c r="D126" s="3">
        <v>5434</v>
      </c>
      <c r="E126" s="3">
        <v>0.2</v>
      </c>
      <c r="F126" s="3">
        <v>13</v>
      </c>
      <c r="G126" s="3">
        <v>1</v>
      </c>
      <c r="H126" s="3">
        <v>0</v>
      </c>
      <c r="I126" s="3">
        <v>0</v>
      </c>
      <c r="J126" s="3">
        <f t="shared" si="3"/>
        <v>632266.84169190004</v>
      </c>
      <c r="K126" s="3">
        <f t="shared" si="4"/>
        <v>-10589.541691899998</v>
      </c>
      <c r="L126" s="1" t="str">
        <f t="shared" si="5"/>
        <v>over-predicted</v>
      </c>
    </row>
    <row r="127" spans="1:12">
      <c r="A127" s="3" t="s">
        <v>99</v>
      </c>
      <c r="B127" s="3">
        <v>628538.30000000005</v>
      </c>
      <c r="C127" s="3">
        <v>48465.599999999999</v>
      </c>
      <c r="D127" s="3">
        <v>5759</v>
      </c>
      <c r="E127" s="3">
        <v>0.154</v>
      </c>
      <c r="F127" s="3">
        <v>13</v>
      </c>
      <c r="G127" s="3">
        <v>1</v>
      </c>
      <c r="H127" s="3">
        <v>0</v>
      </c>
      <c r="I127" s="3">
        <v>0</v>
      </c>
      <c r="J127" s="3">
        <f t="shared" si="3"/>
        <v>638977.36977400002</v>
      </c>
      <c r="K127" s="3">
        <f t="shared" si="4"/>
        <v>-10439.069773999974</v>
      </c>
      <c r="L127" s="1" t="str">
        <f t="shared" si="5"/>
        <v>over-predicted</v>
      </c>
    </row>
    <row r="128" spans="1:12">
      <c r="A128" s="3" t="s">
        <v>23</v>
      </c>
      <c r="B128" s="3">
        <v>573155.18999999994</v>
      </c>
      <c r="C128" s="3">
        <v>59117.9</v>
      </c>
      <c r="D128" s="3">
        <v>4263</v>
      </c>
      <c r="E128" s="3">
        <v>0.11899999999999999</v>
      </c>
      <c r="F128" s="3">
        <v>9</v>
      </c>
      <c r="G128" s="3">
        <v>0</v>
      </c>
      <c r="H128" s="3">
        <v>0</v>
      </c>
      <c r="I128" s="3">
        <v>0</v>
      </c>
      <c r="J128" s="3">
        <f t="shared" si="3"/>
        <v>583240.63072549994</v>
      </c>
      <c r="K128" s="3">
        <f t="shared" si="4"/>
        <v>-10085.440725499997</v>
      </c>
      <c r="L128" s="1" t="str">
        <f t="shared" si="5"/>
        <v>over-predicted</v>
      </c>
    </row>
    <row r="129" spans="1:12">
      <c r="A129" s="3" t="s">
        <v>63</v>
      </c>
      <c r="B129" s="3">
        <v>665534.69999999995</v>
      </c>
      <c r="C129" s="3">
        <v>30301.86</v>
      </c>
      <c r="D129" s="3">
        <v>6939</v>
      </c>
      <c r="E129" s="3">
        <v>0.09</v>
      </c>
      <c r="F129" s="3">
        <v>16</v>
      </c>
      <c r="G129" s="3">
        <v>0</v>
      </c>
      <c r="H129" s="3">
        <v>0</v>
      </c>
      <c r="I129" s="3">
        <v>1</v>
      </c>
      <c r="J129" s="3">
        <f t="shared" si="3"/>
        <v>674790.53709809994</v>
      </c>
      <c r="K129" s="3">
        <f t="shared" si="4"/>
        <v>-9255.8370980999898</v>
      </c>
      <c r="L129" s="1" t="str">
        <f t="shared" si="5"/>
        <v>over-predicted</v>
      </c>
    </row>
    <row r="130" spans="1:12">
      <c r="A130" s="3" t="s">
        <v>55</v>
      </c>
      <c r="B130" s="3">
        <v>529075.94999999995</v>
      </c>
      <c r="C130" s="3">
        <v>70366.759999999995</v>
      </c>
      <c r="D130" s="3">
        <v>1963</v>
      </c>
      <c r="E130" s="3">
        <v>0.182</v>
      </c>
      <c r="F130" s="3">
        <v>8</v>
      </c>
      <c r="G130" s="3">
        <v>1</v>
      </c>
      <c r="H130" s="3">
        <v>0</v>
      </c>
      <c r="I130" s="3">
        <v>0</v>
      </c>
      <c r="J130" s="3">
        <f t="shared" ref="J130:J193" si="6">380861.975+(1.114985*C130)+(29.111154*D130)-(82179.332*E130)+(2460.175*F130)+(17099.184*G130)+(35613.769*H130)+(26173.485*I130)</f>
        <v>538288.99777659995</v>
      </c>
      <c r="K130" s="3">
        <f t="shared" ref="K130:K193" si="7">B130-J130</f>
        <v>-9213.0477765999967</v>
      </c>
      <c r="L130" s="1" t="str">
        <f t="shared" ref="L130:L193" si="8">IF(K130&lt;0,"over-predicted","under-predicted")</f>
        <v>over-predicted</v>
      </c>
    </row>
    <row r="131" spans="1:12">
      <c r="A131" s="3" t="s">
        <v>83</v>
      </c>
      <c r="B131" s="3">
        <v>679888.74</v>
      </c>
      <c r="C131" s="3">
        <v>21536.18</v>
      </c>
      <c r="D131" s="3">
        <v>8119</v>
      </c>
      <c r="E131" s="3">
        <v>0.22700000000000001</v>
      </c>
      <c r="F131" s="3">
        <v>20</v>
      </c>
      <c r="G131" s="3">
        <v>1</v>
      </c>
      <c r="H131" s="3">
        <v>0</v>
      </c>
      <c r="I131" s="3">
        <v>0</v>
      </c>
      <c r="J131" s="3">
        <f t="shared" si="6"/>
        <v>688875.92761929997</v>
      </c>
      <c r="K131" s="3">
        <f t="shared" si="7"/>
        <v>-8987.1876192999771</v>
      </c>
      <c r="L131" s="1" t="str">
        <f t="shared" si="8"/>
        <v>over-predicted</v>
      </c>
    </row>
    <row r="132" spans="1:12">
      <c r="A132" s="3" t="s">
        <v>26</v>
      </c>
      <c r="B132" s="3">
        <v>811771.14</v>
      </c>
      <c r="C132" s="3">
        <v>57696.69</v>
      </c>
      <c r="D132" s="3">
        <v>10218</v>
      </c>
      <c r="E132" s="3">
        <v>0.121</v>
      </c>
      <c r="F132" s="3">
        <v>25</v>
      </c>
      <c r="G132" s="3">
        <v>0</v>
      </c>
      <c r="H132" s="3">
        <v>0</v>
      </c>
      <c r="I132" s="3">
        <v>1</v>
      </c>
      <c r="J132" s="3">
        <f t="shared" si="6"/>
        <v>820384.85129964992</v>
      </c>
      <c r="K132" s="3">
        <f t="shared" si="7"/>
        <v>-8613.7112996499054</v>
      </c>
      <c r="L132" s="1" t="str">
        <f t="shared" si="8"/>
        <v>over-predicted</v>
      </c>
    </row>
    <row r="133" spans="1:12">
      <c r="A133" s="3" t="s">
        <v>95</v>
      </c>
      <c r="B133" s="3">
        <v>498970.32</v>
      </c>
      <c r="C133" s="3">
        <v>59825.51</v>
      </c>
      <c r="D133" s="3">
        <v>1231</v>
      </c>
      <c r="E133" s="3">
        <v>0.214</v>
      </c>
      <c r="F133" s="3">
        <v>10</v>
      </c>
      <c r="G133" s="3">
        <v>1</v>
      </c>
      <c r="H133" s="3">
        <v>0</v>
      </c>
      <c r="I133" s="3">
        <v>0</v>
      </c>
      <c r="J133" s="3">
        <f t="shared" si="6"/>
        <v>507516.90879334998</v>
      </c>
      <c r="K133" s="3">
        <f t="shared" si="7"/>
        <v>-8546.5887933499762</v>
      </c>
      <c r="L133" s="1" t="str">
        <f t="shared" si="8"/>
        <v>over-predicted</v>
      </c>
    </row>
    <row r="134" spans="1:12">
      <c r="A134" s="3" t="s">
        <v>89</v>
      </c>
      <c r="B134" s="3">
        <v>799756.46</v>
      </c>
      <c r="C134" s="3">
        <v>61995.3</v>
      </c>
      <c r="D134" s="3">
        <v>10192</v>
      </c>
      <c r="E134" s="3">
        <v>0.19800000000000001</v>
      </c>
      <c r="F134" s="3">
        <v>21</v>
      </c>
      <c r="G134" s="3">
        <v>0</v>
      </c>
      <c r="H134" s="3">
        <v>0</v>
      </c>
      <c r="I134" s="3">
        <v>1</v>
      </c>
      <c r="J134" s="3">
        <f t="shared" si="6"/>
        <v>808252.33840250003</v>
      </c>
      <c r="K134" s="3">
        <f t="shared" si="7"/>
        <v>-8495.8784025000641</v>
      </c>
      <c r="L134" s="1" t="str">
        <f t="shared" si="8"/>
        <v>over-predicted</v>
      </c>
    </row>
    <row r="135" spans="1:12">
      <c r="A135" s="3" t="s">
        <v>77</v>
      </c>
      <c r="B135" s="3">
        <v>672670.54</v>
      </c>
      <c r="C135" s="3">
        <v>27194.639999999999</v>
      </c>
      <c r="D135" s="3">
        <v>7404</v>
      </c>
      <c r="E135" s="3">
        <v>8.7999999999999995E-2</v>
      </c>
      <c r="F135" s="3">
        <v>18</v>
      </c>
      <c r="G135" s="3">
        <v>1</v>
      </c>
      <c r="H135" s="3">
        <v>0</v>
      </c>
      <c r="I135" s="3">
        <v>0</v>
      </c>
      <c r="J135" s="3">
        <f t="shared" si="6"/>
        <v>680873.12768040004</v>
      </c>
      <c r="K135" s="3">
        <f t="shared" si="7"/>
        <v>-8202.5876804</v>
      </c>
      <c r="L135" s="1" t="str">
        <f t="shared" si="8"/>
        <v>over-predicted</v>
      </c>
    </row>
    <row r="136" spans="1:12">
      <c r="A136" s="3" t="s">
        <v>82</v>
      </c>
      <c r="B136" s="3">
        <v>828219.67</v>
      </c>
      <c r="C136" s="3">
        <v>70799.64</v>
      </c>
      <c r="D136" s="3">
        <v>10076</v>
      </c>
      <c r="E136" s="3">
        <v>0.152</v>
      </c>
      <c r="F136" s="3">
        <v>24</v>
      </c>
      <c r="G136" s="3">
        <v>0</v>
      </c>
      <c r="H136" s="3">
        <v>1</v>
      </c>
      <c r="I136" s="3">
        <v>0</v>
      </c>
      <c r="J136" s="3">
        <f t="shared" si="6"/>
        <v>835293.20984539983</v>
      </c>
      <c r="K136" s="3">
        <f t="shared" si="7"/>
        <v>-7073.5398453997914</v>
      </c>
      <c r="L136" s="1" t="str">
        <f t="shared" si="8"/>
        <v>over-predicted</v>
      </c>
    </row>
    <row r="137" spans="1:12">
      <c r="A137" s="3" t="s">
        <v>37</v>
      </c>
      <c r="B137" s="3">
        <v>572011.19999999995</v>
      </c>
      <c r="C137" s="3">
        <v>50343.19</v>
      </c>
      <c r="D137" s="3">
        <v>3845</v>
      </c>
      <c r="E137" s="3">
        <v>0.113</v>
      </c>
      <c r="F137" s="3">
        <v>9</v>
      </c>
      <c r="G137" s="3">
        <v>1</v>
      </c>
      <c r="H137" s="3">
        <v>0</v>
      </c>
      <c r="I137" s="3">
        <v>0</v>
      </c>
      <c r="J137" s="3">
        <f t="shared" si="6"/>
        <v>578880.75831614994</v>
      </c>
      <c r="K137" s="3">
        <f t="shared" si="7"/>
        <v>-6869.5583161499817</v>
      </c>
      <c r="L137" s="1" t="str">
        <f t="shared" si="8"/>
        <v>over-predicted</v>
      </c>
    </row>
    <row r="138" spans="1:12">
      <c r="A138" s="3" t="s">
        <v>81</v>
      </c>
      <c r="B138" s="3">
        <v>737070.18</v>
      </c>
      <c r="C138" s="3">
        <v>26248.1</v>
      </c>
      <c r="D138" s="3">
        <v>9314</v>
      </c>
      <c r="E138" s="3">
        <v>0.186</v>
      </c>
      <c r="F138" s="3">
        <v>21</v>
      </c>
      <c r="G138" s="3">
        <v>0</v>
      </c>
      <c r="H138" s="3">
        <v>0</v>
      </c>
      <c r="I138" s="3">
        <v>1</v>
      </c>
      <c r="J138" s="3">
        <f t="shared" si="6"/>
        <v>743821.30538249994</v>
      </c>
      <c r="K138" s="3">
        <f t="shared" si="7"/>
        <v>-6751.1253824998857</v>
      </c>
      <c r="L138" s="1" t="str">
        <f t="shared" si="8"/>
        <v>over-predicted</v>
      </c>
    </row>
    <row r="139" spans="1:12">
      <c r="A139" s="3" t="s">
        <v>48</v>
      </c>
      <c r="B139" s="3">
        <v>665594.93999999994</v>
      </c>
      <c r="C139" s="3">
        <v>31042.03</v>
      </c>
      <c r="D139" s="3">
        <v>7107</v>
      </c>
      <c r="E139" s="3">
        <v>5.0999999999999997E-2</v>
      </c>
      <c r="F139" s="3">
        <v>15</v>
      </c>
      <c r="G139" s="3">
        <v>1</v>
      </c>
      <c r="H139" s="3">
        <v>0</v>
      </c>
      <c r="I139" s="3">
        <v>0</v>
      </c>
      <c r="J139" s="3">
        <f t="shared" si="6"/>
        <v>672177.00736554991</v>
      </c>
      <c r="K139" s="3">
        <f t="shared" si="7"/>
        <v>-6582.0673655499704</v>
      </c>
      <c r="L139" s="1" t="str">
        <f t="shared" si="8"/>
        <v>over-predicted</v>
      </c>
    </row>
    <row r="140" spans="1:12">
      <c r="A140" s="3" t="s">
        <v>77</v>
      </c>
      <c r="B140" s="3">
        <v>732667.92</v>
      </c>
      <c r="C140" s="3">
        <v>66962.740000000005</v>
      </c>
      <c r="D140" s="3">
        <v>7880</v>
      </c>
      <c r="E140" s="3">
        <v>0.11600000000000001</v>
      </c>
      <c r="F140" s="3">
        <v>19</v>
      </c>
      <c r="G140" s="3">
        <v>1</v>
      </c>
      <c r="H140" s="3">
        <v>0</v>
      </c>
      <c r="I140" s="3">
        <v>0</v>
      </c>
      <c r="J140" s="3">
        <f t="shared" si="6"/>
        <v>739230.02566689998</v>
      </c>
      <c r="K140" s="3">
        <f t="shared" si="7"/>
        <v>-6562.1056668999372</v>
      </c>
      <c r="L140" s="1" t="str">
        <f t="shared" si="8"/>
        <v>over-predicted</v>
      </c>
    </row>
    <row r="141" spans="1:12">
      <c r="A141" s="3" t="s">
        <v>38</v>
      </c>
      <c r="B141" s="3">
        <v>784502.68</v>
      </c>
      <c r="C141" s="3">
        <v>70040.31</v>
      </c>
      <c r="D141" s="3">
        <v>9175</v>
      </c>
      <c r="E141" s="3">
        <v>0.107</v>
      </c>
      <c r="F141" s="3">
        <v>23</v>
      </c>
      <c r="G141" s="3">
        <v>1</v>
      </c>
      <c r="H141" s="3">
        <v>0</v>
      </c>
      <c r="I141" s="3">
        <v>0</v>
      </c>
      <c r="J141" s="3">
        <f t="shared" si="6"/>
        <v>790940.72847135004</v>
      </c>
      <c r="K141" s="3">
        <f t="shared" si="7"/>
        <v>-6438.04847134999</v>
      </c>
      <c r="L141" s="1" t="str">
        <f t="shared" si="8"/>
        <v>over-predicted</v>
      </c>
    </row>
    <row r="142" spans="1:12">
      <c r="A142" s="3" t="s">
        <v>100</v>
      </c>
      <c r="B142" s="3">
        <v>688368.46</v>
      </c>
      <c r="C142" s="3">
        <v>46767.99</v>
      </c>
      <c r="D142" s="3">
        <v>7973</v>
      </c>
      <c r="E142" s="3">
        <v>0.183</v>
      </c>
      <c r="F142" s="3">
        <v>18</v>
      </c>
      <c r="G142" s="3">
        <v>0</v>
      </c>
      <c r="H142" s="3">
        <v>0</v>
      </c>
      <c r="I142" s="3">
        <v>0</v>
      </c>
      <c r="J142" s="3">
        <f t="shared" si="6"/>
        <v>694355.14541614999</v>
      </c>
      <c r="K142" s="3">
        <f t="shared" si="7"/>
        <v>-5986.6854161500232</v>
      </c>
      <c r="L142" s="1" t="str">
        <f t="shared" si="8"/>
        <v>over-predicted</v>
      </c>
    </row>
    <row r="143" spans="1:12">
      <c r="A143" s="3" t="s">
        <v>80</v>
      </c>
      <c r="B143" s="3">
        <v>640666.53</v>
      </c>
      <c r="C143" s="3">
        <v>62582.71</v>
      </c>
      <c r="D143" s="3">
        <v>5479</v>
      </c>
      <c r="E143" s="3">
        <v>4.8000000000000001E-2</v>
      </c>
      <c r="F143" s="3">
        <v>16</v>
      </c>
      <c r="G143" s="3">
        <v>0</v>
      </c>
      <c r="H143" s="3">
        <v>0</v>
      </c>
      <c r="I143" s="3">
        <v>0</v>
      </c>
      <c r="J143" s="3">
        <f t="shared" si="6"/>
        <v>645558.96273935004</v>
      </c>
      <c r="K143" s="3">
        <f t="shared" si="7"/>
        <v>-4892.4327393500134</v>
      </c>
      <c r="L143" s="1" t="str">
        <f t="shared" si="8"/>
        <v>over-predicted</v>
      </c>
    </row>
    <row r="144" spans="1:12">
      <c r="A144" s="3" t="s">
        <v>83</v>
      </c>
      <c r="B144" s="3">
        <v>750471.34</v>
      </c>
      <c r="C144" s="3">
        <v>48060.78</v>
      </c>
      <c r="D144" s="3">
        <v>8733</v>
      </c>
      <c r="E144" s="3">
        <v>0</v>
      </c>
      <c r="F144" s="3">
        <v>20</v>
      </c>
      <c r="G144" s="3">
        <v>1</v>
      </c>
      <c r="H144" s="3">
        <v>0</v>
      </c>
      <c r="I144" s="3">
        <v>0</v>
      </c>
      <c r="J144" s="3">
        <f t="shared" si="6"/>
        <v>754979.41567030002</v>
      </c>
      <c r="K144" s="3">
        <f t="shared" si="7"/>
        <v>-4508.0756703000516</v>
      </c>
      <c r="L144" s="1" t="str">
        <f t="shared" si="8"/>
        <v>over-predicted</v>
      </c>
    </row>
    <row r="145" spans="1:12">
      <c r="A145" s="3" t="s">
        <v>93</v>
      </c>
      <c r="B145" s="3">
        <v>636775.66</v>
      </c>
      <c r="C145" s="3">
        <v>60183.06</v>
      </c>
      <c r="D145" s="3">
        <v>5562</v>
      </c>
      <c r="E145" s="3">
        <v>8.9999999999999993E-3</v>
      </c>
      <c r="F145" s="3">
        <v>13</v>
      </c>
      <c r="G145" s="3">
        <v>0</v>
      </c>
      <c r="H145" s="3">
        <v>0</v>
      </c>
      <c r="I145" s="3">
        <v>0</v>
      </c>
      <c r="J145" s="3">
        <f t="shared" si="6"/>
        <v>641124.08371409995</v>
      </c>
      <c r="K145" s="3">
        <f t="shared" si="7"/>
        <v>-4348.4237140999176</v>
      </c>
      <c r="L145" s="1" t="str">
        <f t="shared" si="8"/>
        <v>over-predicted</v>
      </c>
    </row>
    <row r="146" spans="1:12">
      <c r="A146" s="3" t="s">
        <v>74</v>
      </c>
      <c r="B146" s="3">
        <v>810446.53</v>
      </c>
      <c r="C146" s="3">
        <v>63457.19</v>
      </c>
      <c r="D146" s="3">
        <v>10125</v>
      </c>
      <c r="E146" s="3">
        <v>9.7000000000000003E-2</v>
      </c>
      <c r="F146" s="3">
        <v>24</v>
      </c>
      <c r="G146" s="3">
        <v>1</v>
      </c>
      <c r="H146" s="3">
        <v>0</v>
      </c>
      <c r="I146" s="3">
        <v>0</v>
      </c>
      <c r="J146" s="3">
        <f t="shared" si="6"/>
        <v>814538.21303814999</v>
      </c>
      <c r="K146" s="3">
        <f t="shared" si="7"/>
        <v>-4091.6830381499603</v>
      </c>
      <c r="L146" s="1" t="str">
        <f t="shared" si="8"/>
        <v>over-predicted</v>
      </c>
    </row>
    <row r="147" spans="1:12">
      <c r="A147" s="3" t="s">
        <v>26</v>
      </c>
      <c r="B147" s="3">
        <v>701641.97</v>
      </c>
      <c r="C147" s="3">
        <v>52715.1</v>
      </c>
      <c r="D147" s="3">
        <v>7223</v>
      </c>
      <c r="E147" s="3">
        <v>0.122</v>
      </c>
      <c r="F147" s="3">
        <v>16</v>
      </c>
      <c r="G147" s="3">
        <v>0</v>
      </c>
      <c r="H147" s="3">
        <v>0</v>
      </c>
      <c r="I147" s="3">
        <v>1</v>
      </c>
      <c r="J147" s="3">
        <f t="shared" si="6"/>
        <v>705418.79261150002</v>
      </c>
      <c r="K147" s="3">
        <f t="shared" si="7"/>
        <v>-3776.8226115000434</v>
      </c>
      <c r="L147" s="1" t="str">
        <f t="shared" si="8"/>
        <v>over-predicted</v>
      </c>
    </row>
    <row r="148" spans="1:12">
      <c r="A148" s="3" t="s">
        <v>84</v>
      </c>
      <c r="B148" s="3">
        <v>729440.45</v>
      </c>
      <c r="C148" s="3">
        <v>97480.94</v>
      </c>
      <c r="D148" s="3">
        <v>6840</v>
      </c>
      <c r="E148" s="3">
        <v>8.6999999999999994E-2</v>
      </c>
      <c r="F148" s="3">
        <v>14</v>
      </c>
      <c r="G148" s="3">
        <v>1</v>
      </c>
      <c r="H148" s="3">
        <v>0</v>
      </c>
      <c r="I148" s="3">
        <v>0</v>
      </c>
      <c r="J148" s="3">
        <f t="shared" si="6"/>
        <v>733064.08636189997</v>
      </c>
      <c r="K148" s="3">
        <f t="shared" si="7"/>
        <v>-3623.6363619000185</v>
      </c>
      <c r="L148" s="1" t="str">
        <f t="shared" si="8"/>
        <v>over-predicted</v>
      </c>
    </row>
    <row r="149" spans="1:12">
      <c r="A149" s="3" t="s">
        <v>46</v>
      </c>
      <c r="B149" s="3">
        <v>691113.62</v>
      </c>
      <c r="C149" s="3">
        <v>61132.07</v>
      </c>
      <c r="D149" s="3">
        <v>6394</v>
      </c>
      <c r="E149" s="3">
        <v>0.16300000000000001</v>
      </c>
      <c r="F149" s="3">
        <v>19</v>
      </c>
      <c r="G149" s="3">
        <v>0</v>
      </c>
      <c r="H149" s="3">
        <v>0</v>
      </c>
      <c r="I149" s="3">
        <v>1</v>
      </c>
      <c r="J149" s="3">
        <f t="shared" si="6"/>
        <v>694681.61362894997</v>
      </c>
      <c r="K149" s="3">
        <f t="shared" si="7"/>
        <v>-3567.9936289499747</v>
      </c>
      <c r="L149" s="1" t="str">
        <f t="shared" si="8"/>
        <v>over-predicted</v>
      </c>
    </row>
    <row r="150" spans="1:12">
      <c r="A150" s="3" t="s">
        <v>70</v>
      </c>
      <c r="B150" s="3">
        <v>559422.02</v>
      </c>
      <c r="C150" s="3">
        <v>40220.18</v>
      </c>
      <c r="D150" s="3">
        <v>3783</v>
      </c>
      <c r="E150" s="3">
        <v>8.8999999999999996E-2</v>
      </c>
      <c r="F150" s="3">
        <v>14</v>
      </c>
      <c r="G150" s="3">
        <v>0</v>
      </c>
      <c r="H150" s="3">
        <v>0</v>
      </c>
      <c r="I150" s="3">
        <v>0</v>
      </c>
      <c r="J150" s="3">
        <f t="shared" si="6"/>
        <v>562962.85743129998</v>
      </c>
      <c r="K150" s="3">
        <f t="shared" si="7"/>
        <v>-3540.8374312999658</v>
      </c>
      <c r="L150" s="1" t="str">
        <f t="shared" si="8"/>
        <v>over-predicted</v>
      </c>
    </row>
    <row r="151" spans="1:12">
      <c r="A151" s="3" t="s">
        <v>23</v>
      </c>
      <c r="B151" s="3">
        <v>591619.94999999995</v>
      </c>
      <c r="C151" s="3">
        <v>41441.93</v>
      </c>
      <c r="D151" s="3">
        <v>4865</v>
      </c>
      <c r="E151" s="3">
        <v>0.158</v>
      </c>
      <c r="F151" s="3">
        <v>16</v>
      </c>
      <c r="G151" s="3">
        <v>0</v>
      </c>
      <c r="H151" s="3">
        <v>0</v>
      </c>
      <c r="I151" s="3">
        <v>0</v>
      </c>
      <c r="J151" s="3">
        <f t="shared" si="6"/>
        <v>595073.33507505001</v>
      </c>
      <c r="K151" s="3">
        <f t="shared" si="7"/>
        <v>-3453.3850750500569</v>
      </c>
      <c r="L151" s="1" t="str">
        <f t="shared" si="8"/>
        <v>over-predicted</v>
      </c>
    </row>
    <row r="152" spans="1:12">
      <c r="A152" s="3" t="s">
        <v>101</v>
      </c>
      <c r="B152" s="3">
        <v>726776.22</v>
      </c>
      <c r="C152" s="3">
        <v>81902.58</v>
      </c>
      <c r="D152" s="3">
        <v>7775</v>
      </c>
      <c r="E152" s="3">
        <v>0.215</v>
      </c>
      <c r="F152" s="3">
        <v>20</v>
      </c>
      <c r="G152" s="3">
        <v>0</v>
      </c>
      <c r="H152" s="3">
        <v>0</v>
      </c>
      <c r="I152" s="3">
        <v>0</v>
      </c>
      <c r="J152" s="3">
        <f t="shared" si="6"/>
        <v>730056.28913130006</v>
      </c>
      <c r="K152" s="3">
        <f t="shared" si="7"/>
        <v>-3280.0691313000862</v>
      </c>
      <c r="L152" s="1" t="str">
        <f t="shared" si="8"/>
        <v>over-predicted</v>
      </c>
    </row>
    <row r="153" spans="1:12">
      <c r="A153" s="3" t="s">
        <v>43</v>
      </c>
      <c r="B153" s="3">
        <v>614596.31999999995</v>
      </c>
      <c r="C153" s="3">
        <v>78231.91</v>
      </c>
      <c r="D153" s="3">
        <v>3788</v>
      </c>
      <c r="E153" s="3">
        <v>5.8999999999999997E-2</v>
      </c>
      <c r="F153" s="3">
        <v>11</v>
      </c>
      <c r="G153" s="3">
        <v>1</v>
      </c>
      <c r="H153" s="3">
        <v>0</v>
      </c>
      <c r="I153" s="3">
        <v>0</v>
      </c>
      <c r="J153" s="3">
        <f t="shared" si="6"/>
        <v>617674.96093535004</v>
      </c>
      <c r="K153" s="3">
        <f t="shared" si="7"/>
        <v>-3078.6409353500931</v>
      </c>
      <c r="L153" s="1" t="str">
        <f t="shared" si="8"/>
        <v>over-predicted</v>
      </c>
    </row>
    <row r="154" spans="1:12">
      <c r="A154" s="3" t="s">
        <v>34</v>
      </c>
      <c r="B154" s="3">
        <v>622811.74</v>
      </c>
      <c r="C154" s="3">
        <v>46624.05</v>
      </c>
      <c r="D154" s="3">
        <v>5104</v>
      </c>
      <c r="E154" s="3">
        <v>0.109</v>
      </c>
      <c r="F154" s="3">
        <v>11</v>
      </c>
      <c r="G154" s="3">
        <v>0</v>
      </c>
      <c r="H154" s="3">
        <v>0</v>
      </c>
      <c r="I154" s="3">
        <v>1</v>
      </c>
      <c r="J154" s="3">
        <f t="shared" si="6"/>
        <v>625708.28421724995</v>
      </c>
      <c r="K154" s="3">
        <f t="shared" si="7"/>
        <v>-2896.5442172499606</v>
      </c>
      <c r="L154" s="1" t="str">
        <f t="shared" si="8"/>
        <v>over-predicted</v>
      </c>
    </row>
    <row r="155" spans="1:12">
      <c r="A155" s="3" t="s">
        <v>75</v>
      </c>
      <c r="B155" s="3">
        <v>752321.72</v>
      </c>
      <c r="C155" s="3">
        <v>35296.54</v>
      </c>
      <c r="D155" s="3">
        <v>9644</v>
      </c>
      <c r="E155" s="3">
        <v>0</v>
      </c>
      <c r="F155" s="3">
        <v>22</v>
      </c>
      <c r="G155" s="3">
        <v>0</v>
      </c>
      <c r="H155" s="3">
        <v>0</v>
      </c>
      <c r="I155" s="3">
        <v>0</v>
      </c>
      <c r="J155" s="3">
        <f t="shared" si="6"/>
        <v>755088.90682789998</v>
      </c>
      <c r="K155" s="3">
        <f t="shared" si="7"/>
        <v>-2767.1868279000046</v>
      </c>
      <c r="L155" s="1" t="str">
        <f t="shared" si="8"/>
        <v>over-predicted</v>
      </c>
    </row>
    <row r="156" spans="1:12">
      <c r="A156" s="3" t="s">
        <v>38</v>
      </c>
      <c r="B156" s="3">
        <v>717141.55</v>
      </c>
      <c r="C156" s="3">
        <v>51148.69</v>
      </c>
      <c r="D156" s="3">
        <v>7940</v>
      </c>
      <c r="E156" s="3">
        <v>0.156</v>
      </c>
      <c r="F156" s="3">
        <v>18</v>
      </c>
      <c r="G156" s="3">
        <v>1</v>
      </c>
      <c r="H156" s="3">
        <v>0</v>
      </c>
      <c r="I156" s="3">
        <v>0</v>
      </c>
      <c r="J156" s="3">
        <f t="shared" si="6"/>
        <v>717596.91808764997</v>
      </c>
      <c r="K156" s="3">
        <f t="shared" si="7"/>
        <v>-455.36808764992747</v>
      </c>
      <c r="L156" s="1" t="str">
        <f t="shared" si="8"/>
        <v>over-predicted</v>
      </c>
    </row>
    <row r="157" spans="1:12">
      <c r="A157" s="3" t="s">
        <v>23</v>
      </c>
      <c r="B157" s="3">
        <v>666573.19999999995</v>
      </c>
      <c r="C157" s="3">
        <v>78831.12</v>
      </c>
      <c r="D157" s="3">
        <v>5538</v>
      </c>
      <c r="E157" s="3">
        <v>0</v>
      </c>
      <c r="F157" s="3">
        <v>15</v>
      </c>
      <c r="G157" s="3">
        <v>0</v>
      </c>
      <c r="H157" s="3">
        <v>0</v>
      </c>
      <c r="I157" s="3">
        <v>0</v>
      </c>
      <c r="J157" s="3">
        <f t="shared" si="6"/>
        <v>666877.68718519993</v>
      </c>
      <c r="K157" s="3">
        <f t="shared" si="7"/>
        <v>-304.48718519997783</v>
      </c>
      <c r="L157" s="1" t="str">
        <f t="shared" si="8"/>
        <v>over-predicted</v>
      </c>
    </row>
    <row r="158" spans="1:12">
      <c r="A158" s="3" t="s">
        <v>64</v>
      </c>
      <c r="B158" s="3">
        <v>679731.57</v>
      </c>
      <c r="C158" s="3">
        <v>36606.51</v>
      </c>
      <c r="D158" s="3">
        <v>7671</v>
      </c>
      <c r="E158" s="3">
        <v>0.11799999999999999</v>
      </c>
      <c r="F158" s="3">
        <v>18</v>
      </c>
      <c r="G158" s="3">
        <v>0</v>
      </c>
      <c r="H158" s="3">
        <v>0</v>
      </c>
      <c r="I158" s="3">
        <v>0</v>
      </c>
      <c r="J158" s="3">
        <f t="shared" si="6"/>
        <v>679575.33571034996</v>
      </c>
      <c r="K158" s="3">
        <f t="shared" si="7"/>
        <v>156.23428964999039</v>
      </c>
      <c r="L158" s="1" t="str">
        <f t="shared" si="8"/>
        <v>under-predicted</v>
      </c>
    </row>
    <row r="159" spans="1:12">
      <c r="A159" s="3" t="s">
        <v>68</v>
      </c>
      <c r="B159" s="3">
        <v>681855.56</v>
      </c>
      <c r="C159" s="3">
        <v>71941.62</v>
      </c>
      <c r="D159" s="3">
        <v>6084</v>
      </c>
      <c r="E159" s="3">
        <v>7.1999999999999995E-2</v>
      </c>
      <c r="F159" s="3">
        <v>13</v>
      </c>
      <c r="G159" s="3">
        <v>1</v>
      </c>
      <c r="H159" s="3">
        <v>0</v>
      </c>
      <c r="I159" s="3">
        <v>0</v>
      </c>
      <c r="J159" s="3">
        <f t="shared" si="6"/>
        <v>681352.61020770005</v>
      </c>
      <c r="K159" s="3">
        <f t="shared" si="7"/>
        <v>502.94979230000172</v>
      </c>
      <c r="L159" s="1" t="str">
        <f t="shared" si="8"/>
        <v>under-predicted</v>
      </c>
    </row>
    <row r="160" spans="1:12">
      <c r="A160" s="3" t="s">
        <v>42</v>
      </c>
      <c r="B160" s="3">
        <v>569100.78</v>
      </c>
      <c r="C160" s="3">
        <v>36475.71</v>
      </c>
      <c r="D160" s="3">
        <v>3559</v>
      </c>
      <c r="E160" s="3">
        <v>0.03</v>
      </c>
      <c r="F160" s="3">
        <v>8</v>
      </c>
      <c r="G160" s="3">
        <v>0</v>
      </c>
      <c r="H160" s="3">
        <v>0</v>
      </c>
      <c r="I160" s="3">
        <v>1</v>
      </c>
      <c r="J160" s="3">
        <f t="shared" si="6"/>
        <v>568527.94664034992</v>
      </c>
      <c r="K160" s="3">
        <f t="shared" si="7"/>
        <v>572.83335965010338</v>
      </c>
      <c r="L160" s="1" t="str">
        <f t="shared" si="8"/>
        <v>under-predicted</v>
      </c>
    </row>
    <row r="161" spans="1:12">
      <c r="A161" s="3" t="s">
        <v>78</v>
      </c>
      <c r="B161" s="3">
        <v>641564.6</v>
      </c>
      <c r="C161" s="3">
        <v>68212.289999999994</v>
      </c>
      <c r="D161" s="3">
        <v>4713</v>
      </c>
      <c r="E161" s="3">
        <v>0.19800000000000001</v>
      </c>
      <c r="F161" s="3">
        <v>15</v>
      </c>
      <c r="G161" s="3">
        <v>0</v>
      </c>
      <c r="H161" s="3">
        <v>0</v>
      </c>
      <c r="I161" s="3">
        <v>1</v>
      </c>
      <c r="J161" s="3">
        <f t="shared" si="6"/>
        <v>640923.12623164989</v>
      </c>
      <c r="K161" s="3">
        <f t="shared" si="7"/>
        <v>641.47376835008617</v>
      </c>
      <c r="L161" s="1" t="str">
        <f t="shared" si="8"/>
        <v>under-predicted</v>
      </c>
    </row>
    <row r="162" spans="1:12">
      <c r="A162" s="3" t="s">
        <v>76</v>
      </c>
      <c r="B162" s="3">
        <v>622892.42000000004</v>
      </c>
      <c r="C162" s="3">
        <v>33987.33</v>
      </c>
      <c r="D162" s="3">
        <v>5014</v>
      </c>
      <c r="E162" s="3">
        <v>0.246</v>
      </c>
      <c r="F162" s="3">
        <v>17</v>
      </c>
      <c r="G162" s="3">
        <v>0</v>
      </c>
      <c r="H162" s="3">
        <v>1</v>
      </c>
      <c r="I162" s="3">
        <v>0</v>
      </c>
      <c r="J162" s="3">
        <f t="shared" si="6"/>
        <v>621941.29262404994</v>
      </c>
      <c r="K162" s="3">
        <f t="shared" si="7"/>
        <v>951.12737595010549</v>
      </c>
      <c r="L162" s="1" t="str">
        <f t="shared" si="8"/>
        <v>under-predicted</v>
      </c>
    </row>
    <row r="163" spans="1:12">
      <c r="A163" s="3" t="s">
        <v>95</v>
      </c>
      <c r="B163" s="3">
        <v>487738.26</v>
      </c>
      <c r="C163" s="3">
        <v>27398.28</v>
      </c>
      <c r="D163" s="3">
        <v>1723</v>
      </c>
      <c r="E163" s="3">
        <v>0.17100000000000001</v>
      </c>
      <c r="F163" s="3">
        <v>9</v>
      </c>
      <c r="G163" s="3">
        <v>1</v>
      </c>
      <c r="H163" s="3">
        <v>0</v>
      </c>
      <c r="I163" s="3">
        <v>0</v>
      </c>
      <c r="J163" s="3">
        <f t="shared" si="6"/>
        <v>486757.25779580005</v>
      </c>
      <c r="K163" s="3">
        <f t="shared" si="7"/>
        <v>981.00220419996185</v>
      </c>
      <c r="L163" s="1" t="str">
        <f t="shared" si="8"/>
        <v>under-predicted</v>
      </c>
    </row>
    <row r="164" spans="1:12">
      <c r="A164" s="3" t="s">
        <v>86</v>
      </c>
      <c r="B164" s="3">
        <v>697888.09</v>
      </c>
      <c r="C164" s="3">
        <v>28670.43</v>
      </c>
      <c r="D164" s="3">
        <v>7574</v>
      </c>
      <c r="E164" s="3">
        <v>0.114</v>
      </c>
      <c r="F164" s="3">
        <v>19</v>
      </c>
      <c r="G164" s="3">
        <v>0</v>
      </c>
      <c r="H164" s="3">
        <v>0</v>
      </c>
      <c r="I164" s="3">
        <v>1</v>
      </c>
      <c r="J164" s="3">
        <f t="shared" si="6"/>
        <v>696865.32094154996</v>
      </c>
      <c r="K164" s="3">
        <f t="shared" si="7"/>
        <v>1022.7690584500087</v>
      </c>
      <c r="L164" s="1" t="str">
        <f t="shared" si="8"/>
        <v>under-predicted</v>
      </c>
    </row>
    <row r="165" spans="1:12">
      <c r="A165" s="3" t="s">
        <v>48</v>
      </c>
      <c r="B165" s="3">
        <v>783797.89</v>
      </c>
      <c r="C165" s="3">
        <v>74679.350000000006</v>
      </c>
      <c r="D165" s="3">
        <v>8739</v>
      </c>
      <c r="E165" s="3">
        <v>5.6000000000000001E-2</v>
      </c>
      <c r="F165" s="3">
        <v>21</v>
      </c>
      <c r="G165" s="3">
        <v>1</v>
      </c>
      <c r="H165" s="3">
        <v>0</v>
      </c>
      <c r="I165" s="3">
        <v>0</v>
      </c>
      <c r="J165" s="3">
        <f t="shared" si="6"/>
        <v>782691.52127375</v>
      </c>
      <c r="K165" s="3">
        <f t="shared" si="7"/>
        <v>1106.3687262500171</v>
      </c>
      <c r="L165" s="1" t="str">
        <f t="shared" si="8"/>
        <v>under-predicted</v>
      </c>
    </row>
    <row r="166" spans="1:12">
      <c r="A166" s="3" t="s">
        <v>26</v>
      </c>
      <c r="B166" s="3">
        <v>783672.82</v>
      </c>
      <c r="C166" s="3">
        <v>55270.52</v>
      </c>
      <c r="D166" s="3">
        <v>9315</v>
      </c>
      <c r="E166" s="3">
        <v>0.16900000000000001</v>
      </c>
      <c r="F166" s="3">
        <v>23</v>
      </c>
      <c r="G166" s="3">
        <v>0</v>
      </c>
      <c r="H166" s="3">
        <v>0</v>
      </c>
      <c r="I166" s="3">
        <v>1</v>
      </c>
      <c r="J166" s="3">
        <f t="shared" si="6"/>
        <v>782527.37814419996</v>
      </c>
      <c r="K166" s="3">
        <f t="shared" si="7"/>
        <v>1145.4418557999888</v>
      </c>
      <c r="L166" s="1" t="str">
        <f t="shared" si="8"/>
        <v>under-predicted</v>
      </c>
    </row>
    <row r="167" spans="1:12">
      <c r="A167" s="3" t="s">
        <v>101</v>
      </c>
      <c r="B167" s="3">
        <v>536845.42000000004</v>
      </c>
      <c r="C167" s="3">
        <v>24088.06</v>
      </c>
      <c r="D167" s="3">
        <v>3466</v>
      </c>
      <c r="E167" s="3">
        <v>0</v>
      </c>
      <c r="F167" s="3">
        <v>11</v>
      </c>
      <c r="G167" s="3">
        <v>0</v>
      </c>
      <c r="H167" s="3">
        <v>0</v>
      </c>
      <c r="I167" s="3">
        <v>0</v>
      </c>
      <c r="J167" s="3">
        <f t="shared" si="6"/>
        <v>535680.98534310004</v>
      </c>
      <c r="K167" s="3">
        <f t="shared" si="7"/>
        <v>1164.4346569000045</v>
      </c>
      <c r="L167" s="1" t="str">
        <f t="shared" si="8"/>
        <v>under-predicted</v>
      </c>
    </row>
    <row r="168" spans="1:12">
      <c r="A168" s="3" t="s">
        <v>60</v>
      </c>
      <c r="B168" s="3">
        <v>702318.94</v>
      </c>
      <c r="C168" s="3">
        <v>42698.14</v>
      </c>
      <c r="D168" s="3">
        <v>7693</v>
      </c>
      <c r="E168" s="3">
        <v>0.187</v>
      </c>
      <c r="F168" s="3">
        <v>19</v>
      </c>
      <c r="G168" s="3">
        <v>1</v>
      </c>
      <c r="H168" s="3">
        <v>0</v>
      </c>
      <c r="I168" s="3">
        <v>0</v>
      </c>
      <c r="J168" s="3">
        <f t="shared" si="6"/>
        <v>700896.84226589999</v>
      </c>
      <c r="K168" s="3">
        <f t="shared" si="7"/>
        <v>1422.0977340999525</v>
      </c>
      <c r="L168" s="1" t="str">
        <f t="shared" si="8"/>
        <v>under-predicted</v>
      </c>
    </row>
    <row r="169" spans="1:12">
      <c r="A169" s="3" t="s">
        <v>44</v>
      </c>
      <c r="B169" s="3">
        <v>711213.46</v>
      </c>
      <c r="C169" s="3">
        <v>50517.94</v>
      </c>
      <c r="D169" s="3">
        <v>7024</v>
      </c>
      <c r="E169" s="3">
        <v>2.9000000000000001E-2</v>
      </c>
      <c r="F169" s="3">
        <v>18</v>
      </c>
      <c r="G169" s="3">
        <v>0</v>
      </c>
      <c r="H169" s="3">
        <v>0</v>
      </c>
      <c r="I169" s="3">
        <v>1</v>
      </c>
      <c r="J169" s="3">
        <f t="shared" si="6"/>
        <v>709738.90039890003</v>
      </c>
      <c r="K169" s="3">
        <f t="shared" si="7"/>
        <v>1474.5596010999288</v>
      </c>
      <c r="L169" s="1" t="str">
        <f t="shared" si="8"/>
        <v>under-predicted</v>
      </c>
    </row>
    <row r="170" spans="1:12">
      <c r="A170" s="3" t="s">
        <v>50</v>
      </c>
      <c r="B170" s="3">
        <v>778397.97</v>
      </c>
      <c r="C170" s="3">
        <v>61426.04</v>
      </c>
      <c r="D170" s="3">
        <v>8966</v>
      </c>
      <c r="E170" s="3">
        <v>0.17299999999999999</v>
      </c>
      <c r="F170" s="3">
        <v>22</v>
      </c>
      <c r="G170" s="3">
        <v>0</v>
      </c>
      <c r="H170" s="3">
        <v>0</v>
      </c>
      <c r="I170" s="3">
        <v>1</v>
      </c>
      <c r="J170" s="3">
        <f t="shared" si="6"/>
        <v>776442.00553739991</v>
      </c>
      <c r="K170" s="3">
        <f t="shared" si="7"/>
        <v>1955.9644626000663</v>
      </c>
      <c r="L170" s="1" t="str">
        <f t="shared" si="8"/>
        <v>under-predicted</v>
      </c>
    </row>
    <row r="171" spans="1:12">
      <c r="A171" s="3" t="s">
        <v>22</v>
      </c>
      <c r="B171" s="3">
        <v>746501.09</v>
      </c>
      <c r="C171" s="3">
        <v>59909.51</v>
      </c>
      <c r="D171" s="3">
        <v>8895</v>
      </c>
      <c r="E171" s="3">
        <v>0.22800000000000001</v>
      </c>
      <c r="F171" s="3">
        <v>23</v>
      </c>
      <c r="G171" s="3">
        <v>0</v>
      </c>
      <c r="H171" s="3">
        <v>0</v>
      </c>
      <c r="I171" s="3">
        <v>0</v>
      </c>
      <c r="J171" s="3">
        <f t="shared" si="6"/>
        <v>744451.03214134998</v>
      </c>
      <c r="K171" s="3">
        <f t="shared" si="7"/>
        <v>2050.0578586499905</v>
      </c>
      <c r="L171" s="1" t="str">
        <f t="shared" si="8"/>
        <v>under-predicted</v>
      </c>
    </row>
    <row r="172" spans="1:12">
      <c r="A172" s="3" t="s">
        <v>60</v>
      </c>
      <c r="B172" s="3">
        <v>698492.67</v>
      </c>
      <c r="C172" s="3">
        <v>64374.75</v>
      </c>
      <c r="D172" s="3">
        <v>6740</v>
      </c>
      <c r="E172" s="3">
        <v>0.16900000000000001</v>
      </c>
      <c r="F172" s="3">
        <v>18</v>
      </c>
      <c r="G172" s="3">
        <v>1</v>
      </c>
      <c r="H172" s="3">
        <v>0</v>
      </c>
      <c r="I172" s="3">
        <v>0</v>
      </c>
      <c r="J172" s="3">
        <f t="shared" si="6"/>
        <v>696342.06048074993</v>
      </c>
      <c r="K172" s="3">
        <f t="shared" si="7"/>
        <v>2150.6095192501089</v>
      </c>
      <c r="L172" s="1" t="str">
        <f t="shared" si="8"/>
        <v>under-predicted</v>
      </c>
    </row>
    <row r="173" spans="1:12">
      <c r="A173" s="3" t="s">
        <v>87</v>
      </c>
      <c r="B173" s="3">
        <v>605751.32999999996</v>
      </c>
      <c r="C173" s="3">
        <v>43288.2</v>
      </c>
      <c r="D173" s="3">
        <v>4783</v>
      </c>
      <c r="E173" s="3">
        <v>0.16900000000000001</v>
      </c>
      <c r="F173" s="3">
        <v>13</v>
      </c>
      <c r="G173" s="3">
        <v>1</v>
      </c>
      <c r="H173" s="3">
        <v>0</v>
      </c>
      <c r="I173" s="3">
        <v>0</v>
      </c>
      <c r="J173" s="3">
        <f t="shared" si="6"/>
        <v>603559.47015099996</v>
      </c>
      <c r="K173" s="3">
        <f t="shared" si="7"/>
        <v>2191.8598490000004</v>
      </c>
      <c r="L173" s="1" t="str">
        <f t="shared" si="8"/>
        <v>under-predicted</v>
      </c>
    </row>
    <row r="174" spans="1:12">
      <c r="A174" s="3" t="s">
        <v>40</v>
      </c>
      <c r="B174" s="3">
        <v>616069.41</v>
      </c>
      <c r="C174" s="3">
        <v>46201.46</v>
      </c>
      <c r="D174" s="3">
        <v>5918</v>
      </c>
      <c r="E174" s="3">
        <v>0.27700000000000002</v>
      </c>
      <c r="F174" s="3">
        <v>13</v>
      </c>
      <c r="G174" s="3">
        <v>0</v>
      </c>
      <c r="H174" s="3">
        <v>0</v>
      </c>
      <c r="I174" s="3">
        <v>0</v>
      </c>
      <c r="J174" s="3">
        <f t="shared" si="6"/>
        <v>613874.31928609998</v>
      </c>
      <c r="K174" s="3">
        <f t="shared" si="7"/>
        <v>2195.0907139000483</v>
      </c>
      <c r="L174" s="1" t="str">
        <f t="shared" si="8"/>
        <v>under-predicted</v>
      </c>
    </row>
    <row r="175" spans="1:12">
      <c r="A175" s="3" t="s">
        <v>82</v>
      </c>
      <c r="B175" s="3">
        <v>763159.92</v>
      </c>
      <c r="C175" s="3">
        <v>53546.34</v>
      </c>
      <c r="D175" s="3">
        <v>8004</v>
      </c>
      <c r="E175" s="3">
        <v>0</v>
      </c>
      <c r="F175" s="3">
        <v>21</v>
      </c>
      <c r="G175" s="3">
        <v>0</v>
      </c>
      <c r="H175" s="3">
        <v>1</v>
      </c>
      <c r="I175" s="3">
        <v>0</v>
      </c>
      <c r="J175" s="3">
        <f t="shared" si="6"/>
        <v>760848.46152090002</v>
      </c>
      <c r="K175" s="3">
        <f t="shared" si="7"/>
        <v>2311.4584791000234</v>
      </c>
      <c r="L175" s="1" t="str">
        <f t="shared" si="8"/>
        <v>under-predicted</v>
      </c>
    </row>
    <row r="176" spans="1:12">
      <c r="A176" s="3" t="s">
        <v>62</v>
      </c>
      <c r="B176" s="3">
        <v>692008.64</v>
      </c>
      <c r="C176" s="3">
        <v>66870.62</v>
      </c>
      <c r="D176" s="3">
        <v>6055</v>
      </c>
      <c r="E176" s="3">
        <v>7.4999999999999997E-2</v>
      </c>
      <c r="F176" s="3">
        <v>19</v>
      </c>
      <c r="G176" s="3">
        <v>1</v>
      </c>
      <c r="H176" s="3">
        <v>0</v>
      </c>
      <c r="I176" s="3">
        <v>0</v>
      </c>
      <c r="J176" s="3">
        <f t="shared" si="6"/>
        <v>689368.8098106999</v>
      </c>
      <c r="K176" s="3">
        <f t="shared" si="7"/>
        <v>2639.8301893001189</v>
      </c>
      <c r="L176" s="1" t="str">
        <f t="shared" si="8"/>
        <v>under-predicted</v>
      </c>
    </row>
    <row r="177" spans="1:12">
      <c r="A177" s="3" t="s">
        <v>33</v>
      </c>
      <c r="B177" s="3">
        <v>599603.4</v>
      </c>
      <c r="C177" s="3">
        <v>63630.21</v>
      </c>
      <c r="D177" s="3">
        <v>4460</v>
      </c>
      <c r="E177" s="3">
        <v>0.23499999999999999</v>
      </c>
      <c r="F177" s="3">
        <v>14</v>
      </c>
      <c r="G177" s="3">
        <v>0</v>
      </c>
      <c r="H177" s="3">
        <v>0</v>
      </c>
      <c r="I177" s="3">
        <v>0</v>
      </c>
      <c r="J177" s="3">
        <f t="shared" si="6"/>
        <v>596774.75851684995</v>
      </c>
      <c r="K177" s="3">
        <f t="shared" si="7"/>
        <v>2828.6414831500733</v>
      </c>
      <c r="L177" s="1" t="str">
        <f t="shared" si="8"/>
        <v>under-predicted</v>
      </c>
    </row>
    <row r="178" spans="1:12">
      <c r="A178" s="3" t="s">
        <v>88</v>
      </c>
      <c r="B178" s="3">
        <v>708985.19</v>
      </c>
      <c r="C178" s="3">
        <v>58981.91</v>
      </c>
      <c r="D178" s="3">
        <v>7324</v>
      </c>
      <c r="E178" s="3">
        <v>9.4E-2</v>
      </c>
      <c r="F178" s="3">
        <v>15</v>
      </c>
      <c r="G178" s="3">
        <v>1</v>
      </c>
      <c r="H178" s="3">
        <v>0</v>
      </c>
      <c r="I178" s="3">
        <v>0</v>
      </c>
      <c r="J178" s="3">
        <f t="shared" si="6"/>
        <v>706112.96360934991</v>
      </c>
      <c r="K178" s="3">
        <f t="shared" si="7"/>
        <v>2872.2263906500302</v>
      </c>
      <c r="L178" s="1" t="str">
        <f t="shared" si="8"/>
        <v>under-predicted</v>
      </c>
    </row>
    <row r="179" spans="1:12">
      <c r="A179" s="3" t="s">
        <v>86</v>
      </c>
      <c r="B179" s="3">
        <v>746115.59</v>
      </c>
      <c r="C179" s="3">
        <v>44189.34</v>
      </c>
      <c r="D179" s="3">
        <v>8634</v>
      </c>
      <c r="E179" s="3">
        <v>0.14299999999999999</v>
      </c>
      <c r="F179" s="3">
        <v>19</v>
      </c>
      <c r="G179" s="3">
        <v>0</v>
      </c>
      <c r="H179" s="3">
        <v>0</v>
      </c>
      <c r="I179" s="3">
        <v>1</v>
      </c>
      <c r="J179" s="3">
        <f t="shared" si="6"/>
        <v>742643.29541989986</v>
      </c>
      <c r="K179" s="3">
        <f t="shared" si="7"/>
        <v>3472.2945801001042</v>
      </c>
      <c r="L179" s="1" t="str">
        <f t="shared" si="8"/>
        <v>under-predicted</v>
      </c>
    </row>
    <row r="180" spans="1:12">
      <c r="A180" s="3" t="s">
        <v>69</v>
      </c>
      <c r="B180" s="3">
        <v>550962.93000000005</v>
      </c>
      <c r="C180" s="3">
        <v>55788.61</v>
      </c>
      <c r="D180" s="3">
        <v>2312</v>
      </c>
      <c r="E180" s="3">
        <v>5.8000000000000003E-2</v>
      </c>
      <c r="F180" s="3">
        <v>10</v>
      </c>
      <c r="G180" s="3">
        <v>1</v>
      </c>
      <c r="H180" s="3">
        <v>0</v>
      </c>
      <c r="I180" s="3">
        <v>0</v>
      </c>
      <c r="J180" s="3">
        <f t="shared" si="6"/>
        <v>547304.9591128499</v>
      </c>
      <c r="K180" s="3">
        <f t="shared" si="7"/>
        <v>3657.9708871501498</v>
      </c>
      <c r="L180" s="1" t="str">
        <f t="shared" si="8"/>
        <v>under-predicted</v>
      </c>
    </row>
    <row r="181" spans="1:12">
      <c r="A181" s="3" t="s">
        <v>17</v>
      </c>
      <c r="B181" s="3">
        <v>806615.54</v>
      </c>
      <c r="C181" s="3">
        <v>46213.45</v>
      </c>
      <c r="D181" s="3">
        <v>10616</v>
      </c>
      <c r="E181" s="3">
        <v>0.122</v>
      </c>
      <c r="F181" s="3">
        <v>22</v>
      </c>
      <c r="G181" s="3">
        <v>1</v>
      </c>
      <c r="H181" s="3">
        <v>0</v>
      </c>
      <c r="I181" s="3">
        <v>0</v>
      </c>
      <c r="J181" s="3">
        <f t="shared" si="6"/>
        <v>802630.44490825001</v>
      </c>
      <c r="K181" s="3">
        <f t="shared" si="7"/>
        <v>3985.0950917500304</v>
      </c>
      <c r="L181" s="1" t="str">
        <f t="shared" si="8"/>
        <v>under-predicted</v>
      </c>
    </row>
    <row r="182" spans="1:12">
      <c r="A182" s="3" t="s">
        <v>76</v>
      </c>
      <c r="B182" s="3">
        <v>674289.1</v>
      </c>
      <c r="C182" s="3">
        <v>69180.539999999994</v>
      </c>
      <c r="D182" s="3">
        <v>5394</v>
      </c>
      <c r="E182" s="3">
        <v>0.126</v>
      </c>
      <c r="F182" s="3">
        <v>12</v>
      </c>
      <c r="G182" s="3">
        <v>0</v>
      </c>
      <c r="H182" s="3">
        <v>1</v>
      </c>
      <c r="I182" s="3">
        <v>0</v>
      </c>
      <c r="J182" s="3">
        <f t="shared" si="6"/>
        <v>669804.07723589987</v>
      </c>
      <c r="K182" s="3">
        <f t="shared" si="7"/>
        <v>4485.0227641001111</v>
      </c>
      <c r="L182" s="1" t="str">
        <f t="shared" si="8"/>
        <v>under-predicted</v>
      </c>
    </row>
    <row r="183" spans="1:12">
      <c r="A183" s="3" t="s">
        <v>58</v>
      </c>
      <c r="B183" s="3">
        <v>570964.84</v>
      </c>
      <c r="C183" s="3">
        <v>60322.400000000001</v>
      </c>
      <c r="D183" s="3">
        <v>3350</v>
      </c>
      <c r="E183" s="3">
        <v>0.108</v>
      </c>
      <c r="F183" s="3">
        <v>12</v>
      </c>
      <c r="G183" s="3">
        <v>0</v>
      </c>
      <c r="H183" s="3">
        <v>0</v>
      </c>
      <c r="I183" s="3">
        <v>0</v>
      </c>
      <c r="J183" s="3">
        <f t="shared" si="6"/>
        <v>566289.64420799993</v>
      </c>
      <c r="K183" s="3">
        <f t="shared" si="7"/>
        <v>4675.1957920000423</v>
      </c>
      <c r="L183" s="1" t="str">
        <f t="shared" si="8"/>
        <v>under-predicted</v>
      </c>
    </row>
    <row r="184" spans="1:12">
      <c r="A184" s="3" t="s">
        <v>63</v>
      </c>
      <c r="B184" s="3">
        <v>820729.29</v>
      </c>
      <c r="C184" s="3">
        <v>78432.14</v>
      </c>
      <c r="D184" s="3">
        <v>9440</v>
      </c>
      <c r="E184" s="3">
        <v>0.126</v>
      </c>
      <c r="F184" s="3">
        <v>23</v>
      </c>
      <c r="G184" s="3">
        <v>0</v>
      </c>
      <c r="H184" s="3">
        <v>0</v>
      </c>
      <c r="I184" s="3">
        <v>1</v>
      </c>
      <c r="J184" s="3">
        <f t="shared" si="6"/>
        <v>815524.84254589991</v>
      </c>
      <c r="K184" s="3">
        <f t="shared" si="7"/>
        <v>5204.4474541001255</v>
      </c>
      <c r="L184" s="1" t="str">
        <f t="shared" si="8"/>
        <v>under-predicted</v>
      </c>
    </row>
    <row r="185" spans="1:12">
      <c r="A185" s="3" t="s">
        <v>67</v>
      </c>
      <c r="B185" s="3">
        <v>819660.59</v>
      </c>
      <c r="C185" s="3">
        <v>57948.88</v>
      </c>
      <c r="D185" s="3">
        <v>10741</v>
      </c>
      <c r="E185" s="3">
        <v>7.0000000000000007E-2</v>
      </c>
      <c r="F185" s="3">
        <v>25</v>
      </c>
      <c r="G185" s="3">
        <v>0</v>
      </c>
      <c r="H185" s="3">
        <v>0</v>
      </c>
      <c r="I185" s="3">
        <v>0</v>
      </c>
      <c r="J185" s="3">
        <f t="shared" si="6"/>
        <v>813908.83384079987</v>
      </c>
      <c r="K185" s="3">
        <f t="shared" si="7"/>
        <v>5751.7561592001002</v>
      </c>
      <c r="L185" s="1" t="str">
        <f t="shared" si="8"/>
        <v>under-predicted</v>
      </c>
    </row>
    <row r="186" spans="1:12">
      <c r="A186" s="3" t="s">
        <v>30</v>
      </c>
      <c r="B186" s="3">
        <v>798952.17</v>
      </c>
      <c r="C186" s="3">
        <v>74413.88</v>
      </c>
      <c r="D186" s="3">
        <v>9449</v>
      </c>
      <c r="E186" s="3">
        <v>3.9E-2</v>
      </c>
      <c r="F186" s="3">
        <v>23</v>
      </c>
      <c r="G186" s="3">
        <v>0</v>
      </c>
      <c r="H186" s="3">
        <v>0</v>
      </c>
      <c r="I186" s="3">
        <v>0</v>
      </c>
      <c r="J186" s="3">
        <f t="shared" si="6"/>
        <v>792282.66018979996</v>
      </c>
      <c r="K186" s="3">
        <f t="shared" si="7"/>
        <v>6669.5098102000775</v>
      </c>
      <c r="L186" s="1" t="str">
        <f t="shared" si="8"/>
        <v>under-predicted</v>
      </c>
    </row>
    <row r="187" spans="1:12">
      <c r="A187" s="3" t="s">
        <v>25</v>
      </c>
      <c r="B187" s="3">
        <v>491905.13</v>
      </c>
      <c r="C187" s="3">
        <v>33518.879999999997</v>
      </c>
      <c r="D187" s="3">
        <v>2121</v>
      </c>
      <c r="E187" s="3">
        <v>0.17599999999999999</v>
      </c>
      <c r="F187" s="3">
        <v>8</v>
      </c>
      <c r="G187" s="3">
        <v>0</v>
      </c>
      <c r="H187" s="3">
        <v>0</v>
      </c>
      <c r="I187" s="3">
        <v>0</v>
      </c>
      <c r="J187" s="3">
        <f t="shared" si="6"/>
        <v>485197.61861879996</v>
      </c>
      <c r="K187" s="3">
        <f t="shared" si="7"/>
        <v>6707.5113812000491</v>
      </c>
      <c r="L187" s="1" t="str">
        <f t="shared" si="8"/>
        <v>under-predicted</v>
      </c>
    </row>
    <row r="188" spans="1:12">
      <c r="A188" s="3" t="s">
        <v>65</v>
      </c>
      <c r="B188" s="3">
        <v>804264</v>
      </c>
      <c r="C188" s="3">
        <v>63043.94</v>
      </c>
      <c r="D188" s="3">
        <v>10402</v>
      </c>
      <c r="E188" s="3">
        <v>0.159</v>
      </c>
      <c r="F188" s="3">
        <v>23</v>
      </c>
      <c r="G188" s="3">
        <v>0</v>
      </c>
      <c r="H188" s="3">
        <v>0</v>
      </c>
      <c r="I188" s="3">
        <v>0</v>
      </c>
      <c r="J188" s="3">
        <f t="shared" si="6"/>
        <v>797486.75756090006</v>
      </c>
      <c r="K188" s="3">
        <f t="shared" si="7"/>
        <v>6777.2424390999367</v>
      </c>
      <c r="L188" s="1" t="str">
        <f t="shared" si="8"/>
        <v>under-predicted</v>
      </c>
    </row>
    <row r="189" spans="1:12">
      <c r="A189" s="3" t="s">
        <v>48</v>
      </c>
      <c r="B189" s="3">
        <v>727227.2</v>
      </c>
      <c r="C189" s="3">
        <v>57919.07</v>
      </c>
      <c r="D189" s="3">
        <v>7374</v>
      </c>
      <c r="E189" s="3">
        <v>0.10299999999999999</v>
      </c>
      <c r="F189" s="3">
        <v>21</v>
      </c>
      <c r="G189" s="3">
        <v>1</v>
      </c>
      <c r="H189" s="3">
        <v>0</v>
      </c>
      <c r="I189" s="3">
        <v>0</v>
      </c>
      <c r="J189" s="3">
        <f t="shared" si="6"/>
        <v>720404.90666395007</v>
      </c>
      <c r="K189" s="3">
        <f t="shared" si="7"/>
        <v>6822.2933360498864</v>
      </c>
      <c r="L189" s="1" t="str">
        <f t="shared" si="8"/>
        <v>under-predicted</v>
      </c>
    </row>
    <row r="190" spans="1:12">
      <c r="A190" s="3" t="s">
        <v>70</v>
      </c>
      <c r="B190" s="3">
        <v>611924.27</v>
      </c>
      <c r="C190" s="3">
        <v>51133.43</v>
      </c>
      <c r="D190" s="3">
        <v>5150</v>
      </c>
      <c r="E190" s="3">
        <v>0.15</v>
      </c>
      <c r="F190" s="3">
        <v>12</v>
      </c>
      <c r="G190" s="3">
        <v>0</v>
      </c>
      <c r="H190" s="3">
        <v>0</v>
      </c>
      <c r="I190" s="3">
        <v>0</v>
      </c>
      <c r="J190" s="3">
        <f t="shared" si="6"/>
        <v>604992.62574854994</v>
      </c>
      <c r="K190" s="3">
        <f t="shared" si="7"/>
        <v>6931.6442514500814</v>
      </c>
      <c r="L190" s="1" t="str">
        <f t="shared" si="8"/>
        <v>under-predicted</v>
      </c>
    </row>
    <row r="191" spans="1:12">
      <c r="A191" s="3" t="s">
        <v>67</v>
      </c>
      <c r="B191" s="3">
        <v>751393.88</v>
      </c>
      <c r="C191" s="3">
        <v>45209.25</v>
      </c>
      <c r="D191" s="3">
        <v>9287</v>
      </c>
      <c r="E191" s="3">
        <v>0.14099999999999999</v>
      </c>
      <c r="F191" s="3">
        <v>22</v>
      </c>
      <c r="G191" s="3">
        <v>0</v>
      </c>
      <c r="H191" s="3">
        <v>0</v>
      </c>
      <c r="I191" s="3">
        <v>0</v>
      </c>
      <c r="J191" s="3">
        <f t="shared" si="6"/>
        <v>744161.46199724998</v>
      </c>
      <c r="K191" s="3">
        <f t="shared" si="7"/>
        <v>7232.4180027500261</v>
      </c>
      <c r="L191" s="1" t="str">
        <f t="shared" si="8"/>
        <v>under-predicted</v>
      </c>
    </row>
    <row r="192" spans="1:12">
      <c r="A192" s="3" t="s">
        <v>84</v>
      </c>
      <c r="B192" s="3">
        <v>647953.78</v>
      </c>
      <c r="C192" s="3">
        <v>38361.93</v>
      </c>
      <c r="D192" s="3">
        <v>6322</v>
      </c>
      <c r="E192" s="3">
        <v>0.27300000000000002</v>
      </c>
      <c r="F192" s="3">
        <v>15</v>
      </c>
      <c r="G192" s="3">
        <v>1</v>
      </c>
      <c r="H192" s="3">
        <v>0</v>
      </c>
      <c r="I192" s="3">
        <v>0</v>
      </c>
      <c r="J192" s="3">
        <f t="shared" si="6"/>
        <v>639242.51847304998</v>
      </c>
      <c r="K192" s="3">
        <f t="shared" si="7"/>
        <v>8711.2615269500529</v>
      </c>
      <c r="L192" s="1" t="str">
        <f t="shared" si="8"/>
        <v>under-predicted</v>
      </c>
    </row>
    <row r="193" spans="1:12">
      <c r="A193" s="3" t="s">
        <v>45</v>
      </c>
      <c r="B193" s="3">
        <v>607898.12</v>
      </c>
      <c r="C193" s="3">
        <v>9534.65</v>
      </c>
      <c r="D193" s="3">
        <v>6057</v>
      </c>
      <c r="E193" s="3">
        <v>7.3999999999999996E-2</v>
      </c>
      <c r="F193" s="3">
        <v>15</v>
      </c>
      <c r="G193" s="3">
        <v>0</v>
      </c>
      <c r="H193" s="3">
        <v>0</v>
      </c>
      <c r="I193" s="3">
        <v>0</v>
      </c>
      <c r="J193" s="3">
        <f t="shared" si="6"/>
        <v>598640.58094024996</v>
      </c>
      <c r="K193" s="3">
        <f t="shared" si="7"/>
        <v>9257.5390597500373</v>
      </c>
      <c r="L193" s="1" t="str">
        <f t="shared" si="8"/>
        <v>under-predicted</v>
      </c>
    </row>
    <row r="194" spans="1:12">
      <c r="A194" s="3" t="s">
        <v>95</v>
      </c>
      <c r="B194" s="3">
        <v>533121.26</v>
      </c>
      <c r="C194" s="3">
        <v>40102.879999999997</v>
      </c>
      <c r="D194" s="3">
        <v>2358</v>
      </c>
      <c r="E194" s="3">
        <v>0.11899999999999999</v>
      </c>
      <c r="F194" s="3">
        <v>9</v>
      </c>
      <c r="G194" s="3">
        <v>1</v>
      </c>
      <c r="H194" s="3">
        <v>0</v>
      </c>
      <c r="I194" s="3">
        <v>0</v>
      </c>
      <c r="J194" s="3">
        <f t="shared" ref="J194:J257" si="9">380861.975+(1.114985*C194)+(29.111154*D194)-(82179.332*E194)+(2460.175*F194)+(17099.184*G194)+(35613.769*H194)+(26173.485*I194)</f>
        <v>523681.60428079998</v>
      </c>
      <c r="K194" s="3">
        <f t="shared" ref="K194:K257" si="10">B194-J194</f>
        <v>9439.6557192000328</v>
      </c>
      <c r="L194" s="1" t="str">
        <f t="shared" ref="L194:L257" si="11">IF(K194&lt;0,"over-predicted","under-predicted")</f>
        <v>under-predicted</v>
      </c>
    </row>
    <row r="195" spans="1:12">
      <c r="A195" s="3" t="s">
        <v>77</v>
      </c>
      <c r="B195" s="3">
        <v>712219.81</v>
      </c>
      <c r="C195" s="3">
        <v>53367.73</v>
      </c>
      <c r="D195" s="3">
        <v>7291</v>
      </c>
      <c r="E195" s="3">
        <v>0.14599999999999999</v>
      </c>
      <c r="F195" s="3">
        <v>18</v>
      </c>
      <c r="G195" s="3">
        <v>1</v>
      </c>
      <c r="H195" s="3">
        <v>0</v>
      </c>
      <c r="I195" s="3">
        <v>0</v>
      </c>
      <c r="J195" s="3">
        <f t="shared" si="9"/>
        <v>701999.76877604995</v>
      </c>
      <c r="K195" s="3">
        <f t="shared" si="10"/>
        <v>10220.041223950102</v>
      </c>
      <c r="L195" s="1" t="str">
        <f t="shared" si="11"/>
        <v>under-predicted</v>
      </c>
    </row>
    <row r="196" spans="1:12">
      <c r="A196" s="3" t="s">
        <v>96</v>
      </c>
      <c r="B196" s="3">
        <v>668459.37</v>
      </c>
      <c r="C196" s="3">
        <v>55599.56</v>
      </c>
      <c r="D196" s="3">
        <v>5896</v>
      </c>
      <c r="E196" s="3">
        <v>3.5999999999999997E-2</v>
      </c>
      <c r="F196" s="3">
        <v>12</v>
      </c>
      <c r="G196" s="3">
        <v>1</v>
      </c>
      <c r="H196" s="3">
        <v>0</v>
      </c>
      <c r="I196" s="3">
        <v>0</v>
      </c>
      <c r="J196" s="3">
        <f t="shared" si="9"/>
        <v>658156.84243859991</v>
      </c>
      <c r="K196" s="3">
        <f t="shared" si="10"/>
        <v>10302.527561400086</v>
      </c>
      <c r="L196" s="1" t="str">
        <f t="shared" si="11"/>
        <v>under-predicted</v>
      </c>
    </row>
    <row r="197" spans="1:12">
      <c r="A197" s="3" t="s">
        <v>82</v>
      </c>
      <c r="B197" s="3">
        <v>676337.41</v>
      </c>
      <c r="C197" s="3">
        <v>51781.599999999999</v>
      </c>
      <c r="D197" s="3">
        <v>5648</v>
      </c>
      <c r="E197" s="3">
        <v>5.8999999999999997E-2</v>
      </c>
      <c r="F197" s="3">
        <v>13</v>
      </c>
      <c r="G197" s="3">
        <v>0</v>
      </c>
      <c r="H197" s="3">
        <v>1</v>
      </c>
      <c r="I197" s="3">
        <v>0</v>
      </c>
      <c r="J197" s="3">
        <f t="shared" si="9"/>
        <v>665764.94348000002</v>
      </c>
      <c r="K197" s="3">
        <f t="shared" si="10"/>
        <v>10572.466520000016</v>
      </c>
      <c r="L197" s="1" t="str">
        <f t="shared" si="11"/>
        <v>under-predicted</v>
      </c>
    </row>
    <row r="198" spans="1:12">
      <c r="A198" s="3" t="s">
        <v>25</v>
      </c>
      <c r="B198" s="3">
        <v>555929.4</v>
      </c>
      <c r="C198" s="3">
        <v>42267.37</v>
      </c>
      <c r="D198" s="3">
        <v>3364</v>
      </c>
      <c r="E198" s="3">
        <v>0.16</v>
      </c>
      <c r="F198" s="3">
        <v>13</v>
      </c>
      <c r="G198" s="3">
        <v>0</v>
      </c>
      <c r="H198" s="3">
        <v>0</v>
      </c>
      <c r="I198" s="3">
        <v>0</v>
      </c>
      <c r="J198" s="3">
        <f t="shared" si="9"/>
        <v>544752.96247544989</v>
      </c>
      <c r="K198" s="3">
        <f t="shared" si="10"/>
        <v>11176.437524550129</v>
      </c>
      <c r="L198" s="1" t="str">
        <f t="shared" si="11"/>
        <v>under-predicted</v>
      </c>
    </row>
    <row r="199" spans="1:12">
      <c r="A199" s="3" t="s">
        <v>55</v>
      </c>
      <c r="B199" s="3">
        <v>593247.25</v>
      </c>
      <c r="C199" s="3">
        <v>52285.45</v>
      </c>
      <c r="D199" s="3">
        <v>3618</v>
      </c>
      <c r="E199" s="3">
        <v>8.5999999999999993E-2</v>
      </c>
      <c r="F199" s="3">
        <v>11</v>
      </c>
      <c r="G199" s="3">
        <v>1</v>
      </c>
      <c r="H199" s="3">
        <v>0</v>
      </c>
      <c r="I199" s="3">
        <v>0</v>
      </c>
      <c r="J199" s="3">
        <f t="shared" si="9"/>
        <v>581577.30908825004</v>
      </c>
      <c r="K199" s="3">
        <f t="shared" si="10"/>
        <v>11669.94091174996</v>
      </c>
      <c r="L199" s="1" t="str">
        <f t="shared" si="11"/>
        <v>under-predicted</v>
      </c>
    </row>
    <row r="200" spans="1:12">
      <c r="A200" s="3" t="s">
        <v>49</v>
      </c>
      <c r="B200" s="3">
        <v>664162.49</v>
      </c>
      <c r="C200" s="3">
        <v>69411.7</v>
      </c>
      <c r="D200" s="3">
        <v>5493</v>
      </c>
      <c r="E200" s="3">
        <v>0.29199999999999998</v>
      </c>
      <c r="F200" s="3">
        <v>13</v>
      </c>
      <c r="G200" s="3">
        <v>0</v>
      </c>
      <c r="H200" s="3">
        <v>0</v>
      </c>
      <c r="I200" s="3">
        <v>1</v>
      </c>
      <c r="J200" s="3">
        <f t="shared" si="9"/>
        <v>652321.94330249995</v>
      </c>
      <c r="K200" s="3">
        <f t="shared" si="10"/>
        <v>11840.546697500045</v>
      </c>
      <c r="L200" s="1" t="str">
        <f t="shared" si="11"/>
        <v>under-predicted</v>
      </c>
    </row>
    <row r="201" spans="1:12">
      <c r="A201" s="3" t="s">
        <v>45</v>
      </c>
      <c r="B201" s="3">
        <v>585937.48</v>
      </c>
      <c r="C201" s="3">
        <v>38966.589999999997</v>
      </c>
      <c r="D201" s="3">
        <v>4509</v>
      </c>
      <c r="E201" s="3">
        <v>0.19400000000000001</v>
      </c>
      <c r="F201" s="3">
        <v>14</v>
      </c>
      <c r="G201" s="3">
        <v>0</v>
      </c>
      <c r="H201" s="3">
        <v>0</v>
      </c>
      <c r="I201" s="3">
        <v>0</v>
      </c>
      <c r="J201" s="3">
        <f t="shared" si="9"/>
        <v>574070.99132914993</v>
      </c>
      <c r="K201" s="3">
        <f t="shared" si="10"/>
        <v>11866.488670850056</v>
      </c>
      <c r="L201" s="1" t="str">
        <f t="shared" si="11"/>
        <v>under-predicted</v>
      </c>
    </row>
    <row r="202" spans="1:12">
      <c r="A202" s="3" t="s">
        <v>29</v>
      </c>
      <c r="B202" s="3">
        <v>537383.79</v>
      </c>
      <c r="C202" s="3">
        <v>63176.73</v>
      </c>
      <c r="D202" s="3">
        <v>2390</v>
      </c>
      <c r="E202" s="3">
        <v>0.216</v>
      </c>
      <c r="F202" s="3">
        <v>9</v>
      </c>
      <c r="G202" s="3">
        <v>0</v>
      </c>
      <c r="H202" s="3">
        <v>0</v>
      </c>
      <c r="I202" s="3">
        <v>0</v>
      </c>
      <c r="J202" s="3">
        <f t="shared" si="9"/>
        <v>525269.57864704996</v>
      </c>
      <c r="K202" s="3">
        <f t="shared" si="10"/>
        <v>12114.211352950078</v>
      </c>
      <c r="L202" s="1" t="str">
        <f t="shared" si="11"/>
        <v>under-predicted</v>
      </c>
    </row>
    <row r="203" spans="1:12">
      <c r="A203" s="3" t="s">
        <v>87</v>
      </c>
      <c r="B203" s="3">
        <v>528852.62</v>
      </c>
      <c r="C203" s="3">
        <v>14519.37</v>
      </c>
      <c r="D203" s="3">
        <v>3047</v>
      </c>
      <c r="E203" s="3">
        <v>0.13500000000000001</v>
      </c>
      <c r="F203" s="3">
        <v>10</v>
      </c>
      <c r="G203" s="3">
        <v>1</v>
      </c>
      <c r="H203" s="3">
        <v>0</v>
      </c>
      <c r="I203" s="3">
        <v>0</v>
      </c>
      <c r="J203" s="3">
        <f t="shared" si="9"/>
        <v>516359.26517744997</v>
      </c>
      <c r="K203" s="3">
        <f t="shared" si="10"/>
        <v>12493.354822550027</v>
      </c>
      <c r="L203" s="1" t="str">
        <f t="shared" si="11"/>
        <v>under-predicted</v>
      </c>
    </row>
    <row r="204" spans="1:12">
      <c r="A204" s="3" t="s">
        <v>58</v>
      </c>
      <c r="B204" s="3">
        <v>601568.87</v>
      </c>
      <c r="C204" s="3">
        <v>53351.7</v>
      </c>
      <c r="D204" s="3">
        <v>4259</v>
      </c>
      <c r="E204" s="3">
        <v>0.156</v>
      </c>
      <c r="F204" s="3">
        <v>15</v>
      </c>
      <c r="G204" s="3">
        <v>0</v>
      </c>
      <c r="H204" s="3">
        <v>0</v>
      </c>
      <c r="I204" s="3">
        <v>0</v>
      </c>
      <c r="J204" s="3">
        <f t="shared" si="9"/>
        <v>588415.37431850005</v>
      </c>
      <c r="K204" s="3">
        <f t="shared" si="10"/>
        <v>13153.495681499946</v>
      </c>
      <c r="L204" s="1" t="str">
        <f t="shared" si="11"/>
        <v>under-predicted</v>
      </c>
    </row>
    <row r="205" spans="1:12">
      <c r="A205" s="3" t="s">
        <v>44</v>
      </c>
      <c r="B205" s="3">
        <v>586307.22</v>
      </c>
      <c r="C205" s="3">
        <v>31207.51</v>
      </c>
      <c r="D205" s="3">
        <v>3701</v>
      </c>
      <c r="E205" s="3">
        <v>4.2999999999999997E-2</v>
      </c>
      <c r="F205" s="3">
        <v>11</v>
      </c>
      <c r="G205" s="3">
        <v>0</v>
      </c>
      <c r="H205" s="3">
        <v>0</v>
      </c>
      <c r="I205" s="3">
        <v>1</v>
      </c>
      <c r="J205" s="3">
        <f t="shared" si="9"/>
        <v>573099.96021534991</v>
      </c>
      <c r="K205" s="3">
        <f t="shared" si="10"/>
        <v>13207.259784650058</v>
      </c>
      <c r="L205" s="1" t="str">
        <f t="shared" si="11"/>
        <v>under-predicted</v>
      </c>
    </row>
    <row r="206" spans="1:12">
      <c r="A206" s="3" t="s">
        <v>54</v>
      </c>
      <c r="B206" s="3">
        <v>849018.3</v>
      </c>
      <c r="C206" s="3">
        <v>66250.53</v>
      </c>
      <c r="D206" s="3">
        <v>10618</v>
      </c>
      <c r="E206" s="3">
        <v>0.14199999999999999</v>
      </c>
      <c r="F206" s="3">
        <v>27</v>
      </c>
      <c r="G206" s="3">
        <v>1</v>
      </c>
      <c r="H206" s="3">
        <v>0</v>
      </c>
      <c r="I206" s="3">
        <v>0</v>
      </c>
      <c r="J206" s="3">
        <f t="shared" si="9"/>
        <v>835686.99922004994</v>
      </c>
      <c r="K206" s="3">
        <f t="shared" si="10"/>
        <v>13331.300779950107</v>
      </c>
      <c r="L206" s="1" t="str">
        <f t="shared" si="11"/>
        <v>under-predicted</v>
      </c>
    </row>
    <row r="207" spans="1:12">
      <c r="A207" s="3" t="s">
        <v>66</v>
      </c>
      <c r="B207" s="3">
        <v>781955.52</v>
      </c>
      <c r="C207" s="3">
        <v>40535.089999999997</v>
      </c>
      <c r="D207" s="3">
        <v>8870</v>
      </c>
      <c r="E207" s="3">
        <v>4.1000000000000002E-2</v>
      </c>
      <c r="F207" s="3">
        <v>21</v>
      </c>
      <c r="G207" s="3">
        <v>0</v>
      </c>
      <c r="H207" s="3">
        <v>1</v>
      </c>
      <c r="I207" s="3">
        <v>0</v>
      </c>
      <c r="J207" s="3">
        <f t="shared" si="9"/>
        <v>768182.01969165006</v>
      </c>
      <c r="K207" s="3">
        <f t="shared" si="10"/>
        <v>13773.500308349961</v>
      </c>
      <c r="L207" s="1" t="str">
        <f t="shared" si="11"/>
        <v>under-predicted</v>
      </c>
    </row>
    <row r="208" spans="1:12">
      <c r="A208" s="3" t="s">
        <v>67</v>
      </c>
      <c r="B208" s="3">
        <v>855341.28</v>
      </c>
      <c r="C208" s="3">
        <v>68491.11</v>
      </c>
      <c r="D208" s="3">
        <v>11154</v>
      </c>
      <c r="E208" s="3">
        <v>1E-3</v>
      </c>
      <c r="F208" s="3">
        <v>24</v>
      </c>
      <c r="G208" s="3">
        <v>0</v>
      </c>
      <c r="H208" s="3">
        <v>0</v>
      </c>
      <c r="I208" s="3">
        <v>0</v>
      </c>
      <c r="J208" s="3">
        <f t="shared" si="9"/>
        <v>840896.36766734999</v>
      </c>
      <c r="K208" s="3">
        <f t="shared" si="10"/>
        <v>14444.912332650041</v>
      </c>
      <c r="L208" s="1" t="str">
        <f t="shared" si="11"/>
        <v>under-predicted</v>
      </c>
    </row>
    <row r="209" spans="1:12">
      <c r="A209" s="3" t="s">
        <v>47</v>
      </c>
      <c r="B209" s="3">
        <v>740102.64</v>
      </c>
      <c r="C209" s="3">
        <v>90084.4</v>
      </c>
      <c r="D209" s="3">
        <v>6832</v>
      </c>
      <c r="E209" s="3">
        <v>0.185</v>
      </c>
      <c r="F209" s="3">
        <v>14</v>
      </c>
      <c r="G209" s="3">
        <v>0</v>
      </c>
      <c r="H209" s="3">
        <v>0</v>
      </c>
      <c r="I209" s="3">
        <v>1</v>
      </c>
      <c r="J209" s="3">
        <f t="shared" si="9"/>
        <v>725604.89244199987</v>
      </c>
      <c r="K209" s="3">
        <f t="shared" si="10"/>
        <v>14497.747558000148</v>
      </c>
      <c r="L209" s="1" t="str">
        <f t="shared" si="11"/>
        <v>under-predicted</v>
      </c>
    </row>
    <row r="210" spans="1:12">
      <c r="A210" s="3" t="s">
        <v>33</v>
      </c>
      <c r="B210" s="3">
        <v>585365.73</v>
      </c>
      <c r="C210" s="3">
        <v>42093.84</v>
      </c>
      <c r="D210" s="3">
        <v>4074</v>
      </c>
      <c r="E210" s="3">
        <v>0.155</v>
      </c>
      <c r="F210" s="3">
        <v>15</v>
      </c>
      <c r="G210" s="3">
        <v>0</v>
      </c>
      <c r="H210" s="3">
        <v>0</v>
      </c>
      <c r="I210" s="3">
        <v>0</v>
      </c>
      <c r="J210" s="3">
        <f t="shared" si="9"/>
        <v>570559.64512839995</v>
      </c>
      <c r="K210" s="3">
        <f t="shared" si="10"/>
        <v>14806.084871600033</v>
      </c>
      <c r="L210" s="1" t="str">
        <f t="shared" si="11"/>
        <v>under-predicted</v>
      </c>
    </row>
    <row r="211" spans="1:12">
      <c r="A211" s="3" t="s">
        <v>88</v>
      </c>
      <c r="B211" s="3">
        <v>745580.51</v>
      </c>
      <c r="C211" s="3">
        <v>56602.39</v>
      </c>
      <c r="D211" s="3">
        <v>7969</v>
      </c>
      <c r="E211" s="3">
        <v>0.17</v>
      </c>
      <c r="F211" s="3">
        <v>21</v>
      </c>
      <c r="G211" s="3">
        <v>1</v>
      </c>
      <c r="H211" s="3">
        <v>0</v>
      </c>
      <c r="I211" s="3">
        <v>0</v>
      </c>
      <c r="J211" s="3">
        <f t="shared" si="9"/>
        <v>730751.94960014999</v>
      </c>
      <c r="K211" s="3">
        <f t="shared" si="10"/>
        <v>14828.560399850016</v>
      </c>
      <c r="L211" s="1" t="str">
        <f t="shared" si="11"/>
        <v>under-predicted</v>
      </c>
    </row>
    <row r="212" spans="1:12">
      <c r="A212" s="3" t="s">
        <v>83</v>
      </c>
      <c r="B212" s="3">
        <v>802001.68</v>
      </c>
      <c r="C212" s="3">
        <v>76942.2</v>
      </c>
      <c r="D212" s="3">
        <v>8934</v>
      </c>
      <c r="E212" s="3">
        <v>8.4000000000000005E-2</v>
      </c>
      <c r="F212" s="3">
        <v>20</v>
      </c>
      <c r="G212" s="3">
        <v>1</v>
      </c>
      <c r="H212" s="3">
        <v>0</v>
      </c>
      <c r="I212" s="3">
        <v>0</v>
      </c>
      <c r="J212" s="3">
        <f t="shared" si="9"/>
        <v>786130.04381499998</v>
      </c>
      <c r="K212" s="3">
        <f t="shared" si="10"/>
        <v>15871.636185000069</v>
      </c>
      <c r="L212" s="1" t="str">
        <f t="shared" si="11"/>
        <v>under-predicted</v>
      </c>
    </row>
    <row r="213" spans="1:12">
      <c r="A213" s="3" t="s">
        <v>100</v>
      </c>
      <c r="B213" s="3">
        <v>702052.47</v>
      </c>
      <c r="C213" s="3">
        <v>78967.520000000004</v>
      </c>
      <c r="D213" s="3">
        <v>6164</v>
      </c>
      <c r="E213" s="3">
        <v>2.1000000000000001E-2</v>
      </c>
      <c r="F213" s="3">
        <v>16</v>
      </c>
      <c r="G213" s="3">
        <v>0</v>
      </c>
      <c r="H213" s="3">
        <v>0</v>
      </c>
      <c r="I213" s="3">
        <v>0</v>
      </c>
      <c r="J213" s="3">
        <f t="shared" si="9"/>
        <v>685987.76257120003</v>
      </c>
      <c r="K213" s="3">
        <f t="shared" si="10"/>
        <v>16064.707428799942</v>
      </c>
      <c r="L213" s="1" t="str">
        <f t="shared" si="11"/>
        <v>under-predicted</v>
      </c>
    </row>
    <row r="214" spans="1:12">
      <c r="A214" s="3" t="s">
        <v>30</v>
      </c>
      <c r="B214" s="3">
        <v>800979.78</v>
      </c>
      <c r="C214" s="3">
        <v>52483.77</v>
      </c>
      <c r="D214" s="3">
        <v>10453</v>
      </c>
      <c r="E214" s="3">
        <v>0.247</v>
      </c>
      <c r="F214" s="3">
        <v>25</v>
      </c>
      <c r="G214" s="3">
        <v>0</v>
      </c>
      <c r="H214" s="3">
        <v>0</v>
      </c>
      <c r="I214" s="3">
        <v>0</v>
      </c>
      <c r="J214" s="3">
        <f t="shared" si="9"/>
        <v>784885.56405145</v>
      </c>
      <c r="K214" s="3">
        <f t="shared" si="10"/>
        <v>16094.215948550031</v>
      </c>
      <c r="L214" s="1" t="str">
        <f t="shared" si="11"/>
        <v>under-predicted</v>
      </c>
    </row>
    <row r="215" spans="1:12">
      <c r="A215" s="3" t="s">
        <v>43</v>
      </c>
      <c r="B215" s="3">
        <v>574436.29</v>
      </c>
      <c r="C215" s="3">
        <v>55388.11</v>
      </c>
      <c r="D215" s="3">
        <v>3091</v>
      </c>
      <c r="E215" s="3">
        <v>0.108</v>
      </c>
      <c r="F215" s="3">
        <v>7</v>
      </c>
      <c r="G215" s="3">
        <v>1</v>
      </c>
      <c r="H215" s="3">
        <v>0</v>
      </c>
      <c r="I215" s="3">
        <v>0</v>
      </c>
      <c r="J215" s="3">
        <f t="shared" si="9"/>
        <v>558046.50498634996</v>
      </c>
      <c r="K215" s="3">
        <f t="shared" si="10"/>
        <v>16389.785013650078</v>
      </c>
      <c r="L215" s="1" t="str">
        <f t="shared" si="11"/>
        <v>under-predicted</v>
      </c>
    </row>
    <row r="216" spans="1:12">
      <c r="A216" s="3" t="s">
        <v>82</v>
      </c>
      <c r="B216" s="3">
        <v>776992.93</v>
      </c>
      <c r="C216" s="3">
        <v>69900.12</v>
      </c>
      <c r="D216" s="3">
        <v>8055</v>
      </c>
      <c r="E216" s="3">
        <v>0.28100000000000003</v>
      </c>
      <c r="F216" s="3">
        <v>22</v>
      </c>
      <c r="G216" s="3">
        <v>0</v>
      </c>
      <c r="H216" s="3">
        <v>1</v>
      </c>
      <c r="I216" s="3">
        <v>0</v>
      </c>
      <c r="J216" s="3">
        <f t="shared" si="9"/>
        <v>759935.1324762</v>
      </c>
      <c r="K216" s="3">
        <f t="shared" si="10"/>
        <v>17057.797523800051</v>
      </c>
      <c r="L216" s="1" t="str">
        <f t="shared" si="11"/>
        <v>under-predicted</v>
      </c>
    </row>
    <row r="217" spans="1:12">
      <c r="A217" s="3" t="s">
        <v>31</v>
      </c>
      <c r="B217" s="3">
        <v>828623.85</v>
      </c>
      <c r="C217" s="3">
        <v>65012.19</v>
      </c>
      <c r="D217" s="3">
        <v>9598</v>
      </c>
      <c r="E217" s="3">
        <v>8.5000000000000006E-2</v>
      </c>
      <c r="F217" s="3">
        <v>24</v>
      </c>
      <c r="G217" s="3">
        <v>0</v>
      </c>
      <c r="H217" s="3">
        <v>0</v>
      </c>
      <c r="I217" s="3">
        <v>1</v>
      </c>
      <c r="J217" s="3">
        <f t="shared" si="9"/>
        <v>810990.88953914994</v>
      </c>
      <c r="K217" s="3">
        <f t="shared" si="10"/>
        <v>17632.960460850038</v>
      </c>
      <c r="L217" s="1" t="str">
        <f t="shared" si="11"/>
        <v>under-predicted</v>
      </c>
    </row>
    <row r="218" spans="1:12">
      <c r="A218" s="3" t="s">
        <v>94</v>
      </c>
      <c r="B218" s="3">
        <v>702068.92</v>
      </c>
      <c r="C218" s="3">
        <v>54080.91</v>
      </c>
      <c r="D218" s="3">
        <v>7083</v>
      </c>
      <c r="E218" s="3">
        <v>0</v>
      </c>
      <c r="F218" s="3">
        <v>15</v>
      </c>
      <c r="G218" s="3">
        <v>0</v>
      </c>
      <c r="H218" s="3">
        <v>0</v>
      </c>
      <c r="I218" s="3">
        <v>0</v>
      </c>
      <c r="J218" s="3">
        <f t="shared" si="9"/>
        <v>684258.30721835</v>
      </c>
      <c r="K218" s="3">
        <f t="shared" si="10"/>
        <v>17810.612781650038</v>
      </c>
      <c r="L218" s="1" t="str">
        <f t="shared" si="11"/>
        <v>under-predicted</v>
      </c>
    </row>
    <row r="219" spans="1:12">
      <c r="A219" s="3" t="s">
        <v>61</v>
      </c>
      <c r="B219" s="3">
        <v>724216.07</v>
      </c>
      <c r="C219" s="3">
        <v>56918.16</v>
      </c>
      <c r="D219" s="3">
        <v>7015</v>
      </c>
      <c r="E219" s="3">
        <v>0.158</v>
      </c>
      <c r="F219" s="3">
        <v>18</v>
      </c>
      <c r="G219" s="3">
        <v>0</v>
      </c>
      <c r="H219" s="3">
        <v>0</v>
      </c>
      <c r="I219" s="3">
        <v>1</v>
      </c>
      <c r="J219" s="3">
        <f t="shared" si="9"/>
        <v>706011.91548159998</v>
      </c>
      <c r="K219" s="3">
        <f t="shared" si="10"/>
        <v>18204.15451839997</v>
      </c>
      <c r="L219" s="1" t="str">
        <f t="shared" si="11"/>
        <v>under-predicted</v>
      </c>
    </row>
    <row r="220" spans="1:12">
      <c r="A220" s="3" t="s">
        <v>69</v>
      </c>
      <c r="B220" s="3">
        <v>625993.82999999996</v>
      </c>
      <c r="C220" s="3">
        <v>71641.899999999994</v>
      </c>
      <c r="D220" s="3">
        <v>3506</v>
      </c>
      <c r="E220" s="3">
        <v>0</v>
      </c>
      <c r="F220" s="3">
        <v>11</v>
      </c>
      <c r="G220" s="3">
        <v>1</v>
      </c>
      <c r="H220" s="3">
        <v>0</v>
      </c>
      <c r="I220" s="3">
        <v>0</v>
      </c>
      <c r="J220" s="3">
        <f t="shared" si="9"/>
        <v>606966.43379549996</v>
      </c>
      <c r="K220" s="3">
        <f t="shared" si="10"/>
        <v>19027.396204499993</v>
      </c>
      <c r="L220" s="1" t="str">
        <f t="shared" si="11"/>
        <v>under-predicted</v>
      </c>
    </row>
    <row r="221" spans="1:12">
      <c r="A221" s="3" t="s">
        <v>76</v>
      </c>
      <c r="B221" s="3">
        <v>606278.30000000005</v>
      </c>
      <c r="C221" s="3">
        <v>16451.849999999999</v>
      </c>
      <c r="D221" s="3">
        <v>4678</v>
      </c>
      <c r="E221" s="3">
        <v>0.13300000000000001</v>
      </c>
      <c r="F221" s="3">
        <v>11</v>
      </c>
      <c r="G221" s="3">
        <v>0</v>
      </c>
      <c r="H221" s="3">
        <v>1</v>
      </c>
      <c r="I221" s="3">
        <v>0</v>
      </c>
      <c r="J221" s="3">
        <f t="shared" si="9"/>
        <v>587133.36222825001</v>
      </c>
      <c r="K221" s="3">
        <f t="shared" si="10"/>
        <v>19144.937771750032</v>
      </c>
      <c r="L221" s="1" t="str">
        <f t="shared" si="11"/>
        <v>under-predicted</v>
      </c>
    </row>
    <row r="222" spans="1:12">
      <c r="A222" s="3" t="s">
        <v>88</v>
      </c>
      <c r="B222" s="3">
        <v>767792.94</v>
      </c>
      <c r="C222" s="3">
        <v>73454.539999999994</v>
      </c>
      <c r="D222" s="3">
        <v>8129</v>
      </c>
      <c r="E222" s="3">
        <v>0.21099999999999999</v>
      </c>
      <c r="F222" s="3">
        <v>20</v>
      </c>
      <c r="G222" s="3">
        <v>1</v>
      </c>
      <c r="H222" s="3">
        <v>0</v>
      </c>
      <c r="I222" s="3">
        <v>0</v>
      </c>
      <c r="J222" s="3">
        <f t="shared" si="9"/>
        <v>748370.10109590006</v>
      </c>
      <c r="K222" s="3">
        <f t="shared" si="10"/>
        <v>19422.838904099888</v>
      </c>
      <c r="L222" s="1" t="str">
        <f t="shared" si="11"/>
        <v>under-predicted</v>
      </c>
    </row>
    <row r="223" spans="1:12">
      <c r="A223" s="3" t="s">
        <v>53</v>
      </c>
      <c r="B223" s="3">
        <v>842439.67</v>
      </c>
      <c r="C223" s="3">
        <v>44747</v>
      </c>
      <c r="D223" s="3">
        <v>11076</v>
      </c>
      <c r="E223" s="3">
        <v>0.17599999999999999</v>
      </c>
      <c r="F223" s="3">
        <v>27</v>
      </c>
      <c r="G223" s="3">
        <v>1</v>
      </c>
      <c r="H223" s="3">
        <v>0</v>
      </c>
      <c r="I223" s="3">
        <v>0</v>
      </c>
      <c r="J223" s="3">
        <f t="shared" si="9"/>
        <v>822249.69706699997</v>
      </c>
      <c r="K223" s="3">
        <f t="shared" si="10"/>
        <v>20189.97293300007</v>
      </c>
      <c r="L223" s="1" t="str">
        <f t="shared" si="11"/>
        <v>under-predicted</v>
      </c>
    </row>
    <row r="224" spans="1:12">
      <c r="A224" s="3" t="s">
        <v>52</v>
      </c>
      <c r="B224" s="3">
        <v>654317.09</v>
      </c>
      <c r="C224" s="3">
        <v>83044.17</v>
      </c>
      <c r="D224" s="3">
        <v>3694</v>
      </c>
      <c r="E224" s="3">
        <v>0</v>
      </c>
      <c r="F224" s="3">
        <v>14</v>
      </c>
      <c r="G224" s="3">
        <v>1</v>
      </c>
      <c r="H224" s="3">
        <v>0</v>
      </c>
      <c r="I224" s="3">
        <v>0</v>
      </c>
      <c r="J224" s="3">
        <f t="shared" si="9"/>
        <v>632533.2157634499</v>
      </c>
      <c r="K224" s="3">
        <f t="shared" si="10"/>
        <v>21783.874236550066</v>
      </c>
      <c r="L224" s="1" t="str">
        <f t="shared" si="11"/>
        <v>under-predicted</v>
      </c>
    </row>
    <row r="225" spans="1:12">
      <c r="A225" s="3" t="s">
        <v>38</v>
      </c>
      <c r="B225" s="3">
        <v>740496.65</v>
      </c>
      <c r="C225" s="3">
        <v>42018.400000000001</v>
      </c>
      <c r="D225" s="3">
        <v>8296</v>
      </c>
      <c r="E225" s="3">
        <v>0.115</v>
      </c>
      <c r="F225" s="3">
        <v>17</v>
      </c>
      <c r="G225" s="3">
        <v>1</v>
      </c>
      <c r="H225" s="3">
        <v>0</v>
      </c>
      <c r="I225" s="3">
        <v>0</v>
      </c>
      <c r="J225" s="3">
        <f t="shared" si="9"/>
        <v>718689.53012799995</v>
      </c>
      <c r="K225" s="3">
        <f t="shared" si="10"/>
        <v>21807.119872000068</v>
      </c>
      <c r="L225" s="1" t="str">
        <f t="shared" si="11"/>
        <v>under-predicted</v>
      </c>
    </row>
    <row r="226" spans="1:12">
      <c r="A226" s="3" t="s">
        <v>99</v>
      </c>
      <c r="B226" s="3">
        <v>771129.07</v>
      </c>
      <c r="C226" s="3">
        <v>86026.58</v>
      </c>
      <c r="D226" s="3">
        <v>7479</v>
      </c>
      <c r="E226" s="3">
        <v>0.14199999999999999</v>
      </c>
      <c r="F226" s="3">
        <v>20</v>
      </c>
      <c r="G226" s="3">
        <v>1</v>
      </c>
      <c r="H226" s="3">
        <v>0</v>
      </c>
      <c r="I226" s="3">
        <v>0</v>
      </c>
      <c r="J226" s="3">
        <f t="shared" si="9"/>
        <v>749135.86092329992</v>
      </c>
      <c r="K226" s="3">
        <f t="shared" si="10"/>
        <v>21993.209076700034</v>
      </c>
      <c r="L226" s="1" t="str">
        <f t="shared" si="11"/>
        <v>under-predicted</v>
      </c>
    </row>
    <row r="227" spans="1:12">
      <c r="A227" s="3" t="s">
        <v>19</v>
      </c>
      <c r="B227" s="3">
        <v>910791.94</v>
      </c>
      <c r="C227" s="3">
        <v>67979.88</v>
      </c>
      <c r="D227" s="3">
        <v>11230</v>
      </c>
      <c r="E227" s="3">
        <v>2E-3</v>
      </c>
      <c r="F227" s="3">
        <v>28</v>
      </c>
      <c r="G227" s="3">
        <v>0</v>
      </c>
      <c r="H227" s="3">
        <v>1</v>
      </c>
      <c r="I227" s="3">
        <v>0</v>
      </c>
      <c r="J227" s="3">
        <f t="shared" si="9"/>
        <v>887911.0912578</v>
      </c>
      <c r="K227" s="3">
        <f t="shared" si="10"/>
        <v>22880.848742199945</v>
      </c>
      <c r="L227" s="1" t="str">
        <f t="shared" si="11"/>
        <v>under-predicted</v>
      </c>
    </row>
    <row r="228" spans="1:12">
      <c r="A228" s="3" t="s">
        <v>91</v>
      </c>
      <c r="B228" s="3">
        <v>756619.77</v>
      </c>
      <c r="C228" s="3">
        <v>48609.41</v>
      </c>
      <c r="D228" s="3">
        <v>9324</v>
      </c>
      <c r="E228" s="3">
        <v>0.21299999999999999</v>
      </c>
      <c r="F228" s="3">
        <v>18</v>
      </c>
      <c r="G228" s="3">
        <v>0</v>
      </c>
      <c r="H228" s="3">
        <v>0</v>
      </c>
      <c r="I228" s="3">
        <v>0</v>
      </c>
      <c r="J228" s="3">
        <f t="shared" si="9"/>
        <v>733272.09018884995</v>
      </c>
      <c r="K228" s="3">
        <f t="shared" si="10"/>
        <v>23347.679811150068</v>
      </c>
      <c r="L228" s="1" t="str">
        <f t="shared" si="11"/>
        <v>under-predicted</v>
      </c>
    </row>
    <row r="229" spans="1:12">
      <c r="A229" s="3" t="s">
        <v>32</v>
      </c>
      <c r="B229" s="3">
        <v>592195.85</v>
      </c>
      <c r="C229" s="3">
        <v>40462.94</v>
      </c>
      <c r="D229" s="3">
        <v>3660</v>
      </c>
      <c r="E229" s="3">
        <v>0.218</v>
      </c>
      <c r="F229" s="3">
        <v>11</v>
      </c>
      <c r="G229" s="3">
        <v>0</v>
      </c>
      <c r="H229" s="3">
        <v>0</v>
      </c>
      <c r="I229" s="3">
        <v>1</v>
      </c>
      <c r="J229" s="3">
        <f t="shared" si="9"/>
        <v>567844.68541989999</v>
      </c>
      <c r="K229" s="3">
        <f t="shared" si="10"/>
        <v>24351.164580099983</v>
      </c>
      <c r="L229" s="1" t="str">
        <f t="shared" si="11"/>
        <v>under-predicted</v>
      </c>
    </row>
    <row r="230" spans="1:12">
      <c r="A230" s="3" t="s">
        <v>85</v>
      </c>
      <c r="B230" s="3">
        <v>764949</v>
      </c>
      <c r="C230" s="3">
        <v>81801.8</v>
      </c>
      <c r="D230" s="3">
        <v>6782</v>
      </c>
      <c r="E230" s="3">
        <v>0.05</v>
      </c>
      <c r="F230" s="3">
        <v>16</v>
      </c>
      <c r="G230" s="3">
        <v>0</v>
      </c>
      <c r="H230" s="3">
        <v>1</v>
      </c>
      <c r="I230" s="3">
        <v>0</v>
      </c>
      <c r="J230" s="3">
        <f t="shared" si="9"/>
        <v>740369.20380099991</v>
      </c>
      <c r="K230" s="3">
        <f t="shared" si="10"/>
        <v>24579.796199000091</v>
      </c>
      <c r="L230" s="1" t="str">
        <f t="shared" si="11"/>
        <v>under-predicted</v>
      </c>
    </row>
    <row r="231" spans="1:12">
      <c r="A231" s="3" t="s">
        <v>80</v>
      </c>
      <c r="B231" s="3">
        <v>670629.48</v>
      </c>
      <c r="C231" s="3">
        <v>47944.14</v>
      </c>
      <c r="D231" s="3">
        <v>6169</v>
      </c>
      <c r="E231" s="3">
        <v>0.11899999999999999</v>
      </c>
      <c r="F231" s="3">
        <v>17</v>
      </c>
      <c r="G231" s="3">
        <v>0</v>
      </c>
      <c r="H231" s="3">
        <v>0</v>
      </c>
      <c r="I231" s="3">
        <v>0</v>
      </c>
      <c r="J231" s="3">
        <f t="shared" si="9"/>
        <v>645949.31545589992</v>
      </c>
      <c r="K231" s="3">
        <f t="shared" si="10"/>
        <v>24680.164544100058</v>
      </c>
      <c r="L231" s="1" t="str">
        <f t="shared" si="11"/>
        <v>under-predicted</v>
      </c>
    </row>
    <row r="232" spans="1:12">
      <c r="A232" s="3" t="s">
        <v>22</v>
      </c>
      <c r="B232" s="3">
        <v>922168.6</v>
      </c>
      <c r="C232" s="3">
        <v>71828.259999999995</v>
      </c>
      <c r="D232" s="3">
        <v>12775</v>
      </c>
      <c r="E232" s="3">
        <v>0.11600000000000001</v>
      </c>
      <c r="F232" s="3">
        <v>30</v>
      </c>
      <c r="G232" s="3">
        <v>0</v>
      </c>
      <c r="H232" s="3">
        <v>0</v>
      </c>
      <c r="I232" s="3">
        <v>0</v>
      </c>
      <c r="J232" s="3">
        <f t="shared" si="9"/>
        <v>897116.84731410001</v>
      </c>
      <c r="K232" s="3">
        <f t="shared" si="10"/>
        <v>25051.752685899963</v>
      </c>
      <c r="L232" s="1" t="str">
        <f t="shared" si="11"/>
        <v>under-predicted</v>
      </c>
    </row>
    <row r="233" spans="1:12">
      <c r="A233" s="3" t="s">
        <v>93</v>
      </c>
      <c r="B233" s="3">
        <v>633009.53</v>
      </c>
      <c r="C233" s="3">
        <v>74539.14</v>
      </c>
      <c r="D233" s="3">
        <v>4487</v>
      </c>
      <c r="E233" s="3">
        <v>0.14000000000000001</v>
      </c>
      <c r="F233" s="3">
        <v>10</v>
      </c>
      <c r="G233" s="3">
        <v>0</v>
      </c>
      <c r="H233" s="3">
        <v>0</v>
      </c>
      <c r="I233" s="3">
        <v>0</v>
      </c>
      <c r="J233" s="3">
        <f t="shared" si="9"/>
        <v>607690.38953090005</v>
      </c>
      <c r="K233" s="3">
        <f t="shared" si="10"/>
        <v>25319.140469099977</v>
      </c>
      <c r="L233" s="1" t="str">
        <f t="shared" si="11"/>
        <v>under-predicted</v>
      </c>
    </row>
    <row r="234" spans="1:12">
      <c r="A234" s="3" t="s">
        <v>90</v>
      </c>
      <c r="B234" s="3">
        <v>561597.32999999996</v>
      </c>
      <c r="C234" s="3">
        <v>17562.57</v>
      </c>
      <c r="D234" s="3">
        <v>3326</v>
      </c>
      <c r="E234" s="3">
        <v>0.153</v>
      </c>
      <c r="F234" s="3">
        <v>14</v>
      </c>
      <c r="G234" s="3">
        <v>1</v>
      </c>
      <c r="H234" s="3">
        <v>0</v>
      </c>
      <c r="I234" s="3">
        <v>0</v>
      </c>
      <c r="J234" s="3">
        <f t="shared" si="9"/>
        <v>536235.87151944998</v>
      </c>
      <c r="K234" s="3">
        <f t="shared" si="10"/>
        <v>25361.458480549976</v>
      </c>
      <c r="L234" s="1" t="str">
        <f t="shared" si="11"/>
        <v>under-predicted</v>
      </c>
    </row>
    <row r="235" spans="1:12">
      <c r="A235" s="3" t="s">
        <v>63</v>
      </c>
      <c r="B235" s="3">
        <v>825797.91</v>
      </c>
      <c r="C235" s="3">
        <v>72150.53</v>
      </c>
      <c r="D235" s="3">
        <v>9323</v>
      </c>
      <c r="E235" s="3">
        <v>0.157</v>
      </c>
      <c r="F235" s="3">
        <v>22</v>
      </c>
      <c r="G235" s="3">
        <v>0</v>
      </c>
      <c r="H235" s="3">
        <v>0</v>
      </c>
      <c r="I235" s="3">
        <v>1</v>
      </c>
      <c r="J235" s="3">
        <f t="shared" si="9"/>
        <v>800107.20231004991</v>
      </c>
      <c r="K235" s="3">
        <f t="shared" si="10"/>
        <v>25690.707689950126</v>
      </c>
      <c r="L235" s="1" t="str">
        <f t="shared" si="11"/>
        <v>under-predicted</v>
      </c>
    </row>
    <row r="236" spans="1:12">
      <c r="A236" s="3" t="s">
        <v>75</v>
      </c>
      <c r="B236" s="3">
        <v>836908.24</v>
      </c>
      <c r="C236" s="3">
        <v>47391.09</v>
      </c>
      <c r="D236" s="3">
        <v>11224</v>
      </c>
      <c r="E236" s="3">
        <v>0.14699999999999999</v>
      </c>
      <c r="F236" s="3">
        <v>25</v>
      </c>
      <c r="G236" s="3">
        <v>0</v>
      </c>
      <c r="H236" s="3">
        <v>0</v>
      </c>
      <c r="I236" s="3">
        <v>0</v>
      </c>
      <c r="J236" s="3">
        <f t="shared" si="9"/>
        <v>809869.93517564994</v>
      </c>
      <c r="K236" s="3">
        <f t="shared" si="10"/>
        <v>27038.304824350053</v>
      </c>
      <c r="L236" s="1" t="str">
        <f t="shared" si="11"/>
        <v>under-predicted</v>
      </c>
    </row>
    <row r="237" spans="1:12">
      <c r="A237" s="3" t="s">
        <v>25</v>
      </c>
      <c r="B237" s="3">
        <v>565810.99</v>
      </c>
      <c r="C237" s="3">
        <v>62060.43</v>
      </c>
      <c r="D237" s="3">
        <v>2613</v>
      </c>
      <c r="E237" s="3">
        <v>0.216</v>
      </c>
      <c r="F237" s="3">
        <v>12</v>
      </c>
      <c r="G237" s="3">
        <v>0</v>
      </c>
      <c r="H237" s="3">
        <v>0</v>
      </c>
      <c r="I237" s="3">
        <v>0</v>
      </c>
      <c r="J237" s="3">
        <f t="shared" si="9"/>
        <v>537897.23323354998</v>
      </c>
      <c r="K237" s="3">
        <f t="shared" si="10"/>
        <v>27913.756766450009</v>
      </c>
      <c r="L237" s="1" t="str">
        <f t="shared" si="11"/>
        <v>under-predicted</v>
      </c>
    </row>
    <row r="238" spans="1:12">
      <c r="A238" s="3" t="s">
        <v>85</v>
      </c>
      <c r="B238" s="3">
        <v>720079.54</v>
      </c>
      <c r="C238" s="3">
        <v>75412.740000000005</v>
      </c>
      <c r="D238" s="3">
        <v>5641</v>
      </c>
      <c r="E238" s="3">
        <v>5.8999999999999997E-2</v>
      </c>
      <c r="F238" s="3">
        <v>13</v>
      </c>
      <c r="G238" s="3">
        <v>0</v>
      </c>
      <c r="H238" s="3">
        <v>1</v>
      </c>
      <c r="I238" s="3">
        <v>0</v>
      </c>
      <c r="J238" s="3">
        <f t="shared" si="9"/>
        <v>691909.53203489992</v>
      </c>
      <c r="K238" s="3">
        <f t="shared" si="10"/>
        <v>28170.007965100114</v>
      </c>
      <c r="L238" s="1" t="str">
        <f t="shared" si="11"/>
        <v>under-predicted</v>
      </c>
    </row>
    <row r="239" spans="1:12">
      <c r="A239" s="3" t="s">
        <v>31</v>
      </c>
      <c r="B239" s="3">
        <v>820593.93</v>
      </c>
      <c r="C239" s="3">
        <v>75269.87</v>
      </c>
      <c r="D239" s="3">
        <v>8838</v>
      </c>
      <c r="E239" s="3">
        <v>9.1999999999999998E-2</v>
      </c>
      <c r="F239" s="3">
        <v>21</v>
      </c>
      <c r="G239" s="3">
        <v>0</v>
      </c>
      <c r="H239" s="3">
        <v>0</v>
      </c>
      <c r="I239" s="3">
        <v>1</v>
      </c>
      <c r="J239" s="3">
        <f t="shared" si="9"/>
        <v>792347.79150995007</v>
      </c>
      <c r="K239" s="3">
        <f t="shared" si="10"/>
        <v>28246.138490049983</v>
      </c>
      <c r="L239" s="1" t="str">
        <f t="shared" si="11"/>
        <v>under-predicted</v>
      </c>
    </row>
    <row r="240" spans="1:12">
      <c r="A240" s="3" t="s">
        <v>44</v>
      </c>
      <c r="B240" s="3">
        <v>739852.58</v>
      </c>
      <c r="C240" s="3">
        <v>82116.19</v>
      </c>
      <c r="D240" s="3">
        <v>5988</v>
      </c>
      <c r="E240" s="3">
        <v>0.04</v>
      </c>
      <c r="F240" s="3">
        <v>17</v>
      </c>
      <c r="G240" s="3">
        <v>0</v>
      </c>
      <c r="H240" s="3">
        <v>0</v>
      </c>
      <c r="I240" s="3">
        <v>1</v>
      </c>
      <c r="J240" s="3">
        <f t="shared" si="9"/>
        <v>711447.17197914992</v>
      </c>
      <c r="K240" s="3">
        <f t="shared" si="10"/>
        <v>28405.408020850038</v>
      </c>
      <c r="L240" s="1" t="str">
        <f t="shared" si="11"/>
        <v>under-predicted</v>
      </c>
    </row>
    <row r="241" spans="1:12">
      <c r="A241" s="3" t="s">
        <v>39</v>
      </c>
      <c r="B241" s="3">
        <v>674774.09</v>
      </c>
      <c r="C241" s="3">
        <v>55081.16</v>
      </c>
      <c r="D241" s="3">
        <v>5485</v>
      </c>
      <c r="E241" s="3">
        <v>3.5999999999999997E-2</v>
      </c>
      <c r="F241" s="3">
        <v>12</v>
      </c>
      <c r="G241" s="3">
        <v>1</v>
      </c>
      <c r="H241" s="3">
        <v>0</v>
      </c>
      <c r="I241" s="3">
        <v>0</v>
      </c>
      <c r="J241" s="3">
        <f t="shared" si="9"/>
        <v>645614.1499206</v>
      </c>
      <c r="K241" s="3">
        <f t="shared" si="10"/>
        <v>29159.940079399967</v>
      </c>
      <c r="L241" s="1" t="str">
        <f t="shared" si="11"/>
        <v>under-predicted</v>
      </c>
    </row>
    <row r="242" spans="1:12">
      <c r="A242" s="3" t="s">
        <v>51</v>
      </c>
      <c r="B242" s="3">
        <v>714942.43</v>
      </c>
      <c r="C242" s="3">
        <v>43685.14</v>
      </c>
      <c r="D242" s="3">
        <v>7821</v>
      </c>
      <c r="E242" s="3">
        <v>0.19</v>
      </c>
      <c r="F242" s="3">
        <v>17</v>
      </c>
      <c r="G242" s="3">
        <v>0</v>
      </c>
      <c r="H242" s="3">
        <v>0</v>
      </c>
      <c r="I242" s="3">
        <v>0</v>
      </c>
      <c r="J242" s="3">
        <f t="shared" si="9"/>
        <v>683457.48817689996</v>
      </c>
      <c r="K242" s="3">
        <f t="shared" si="10"/>
        <v>31484.941823100089</v>
      </c>
      <c r="L242" s="1" t="str">
        <f t="shared" si="11"/>
        <v>under-predicted</v>
      </c>
    </row>
    <row r="243" spans="1:12">
      <c r="A243" s="3" t="s">
        <v>57</v>
      </c>
      <c r="B243" s="3">
        <v>695098.51</v>
      </c>
      <c r="C243" s="3">
        <v>50198.12</v>
      </c>
      <c r="D243" s="3">
        <v>6089</v>
      </c>
      <c r="E243" s="3">
        <v>0.182</v>
      </c>
      <c r="F243" s="3">
        <v>19</v>
      </c>
      <c r="G243" s="3">
        <v>1</v>
      </c>
      <c r="H243" s="3">
        <v>0</v>
      </c>
      <c r="I243" s="3">
        <v>0</v>
      </c>
      <c r="J243" s="3">
        <f t="shared" si="9"/>
        <v>662975.81311019987</v>
      </c>
      <c r="K243" s="3">
        <f t="shared" si="10"/>
        <v>32122.696889800136</v>
      </c>
      <c r="L243" s="1" t="str">
        <f t="shared" si="11"/>
        <v>under-predicted</v>
      </c>
    </row>
    <row r="244" spans="1:12">
      <c r="A244" s="3" t="s">
        <v>57</v>
      </c>
      <c r="B244" s="3">
        <v>682639.28</v>
      </c>
      <c r="C244" s="3">
        <v>44034.6</v>
      </c>
      <c r="D244" s="3">
        <v>5645</v>
      </c>
      <c r="E244" s="3">
        <v>6.9000000000000006E-2</v>
      </c>
      <c r="F244" s="3">
        <v>18</v>
      </c>
      <c r="G244" s="3">
        <v>1</v>
      </c>
      <c r="H244" s="3">
        <v>0</v>
      </c>
      <c r="I244" s="3">
        <v>0</v>
      </c>
      <c r="J244" s="3">
        <f t="shared" si="9"/>
        <v>650004.31790300005</v>
      </c>
      <c r="K244" s="3">
        <f t="shared" si="10"/>
        <v>32634.962096999981</v>
      </c>
      <c r="L244" s="1" t="str">
        <f t="shared" si="11"/>
        <v>under-predicted</v>
      </c>
    </row>
    <row r="245" spans="1:12">
      <c r="A245" s="3" t="s">
        <v>64</v>
      </c>
      <c r="B245" s="3">
        <v>769702.76</v>
      </c>
      <c r="C245" s="3">
        <v>50825.08</v>
      </c>
      <c r="D245" s="3">
        <v>8949</v>
      </c>
      <c r="E245" s="3">
        <v>0.157</v>
      </c>
      <c r="F245" s="3">
        <v>21</v>
      </c>
      <c r="G245" s="3">
        <v>0</v>
      </c>
      <c r="H245" s="3">
        <v>0</v>
      </c>
      <c r="I245" s="3">
        <v>0</v>
      </c>
      <c r="J245" s="3">
        <f t="shared" si="9"/>
        <v>736808.41384579998</v>
      </c>
      <c r="K245" s="3">
        <f t="shared" si="10"/>
        <v>32894.34615420003</v>
      </c>
      <c r="L245" s="1" t="str">
        <f t="shared" si="11"/>
        <v>under-predicted</v>
      </c>
    </row>
    <row r="246" spans="1:12">
      <c r="A246" s="3" t="s">
        <v>78</v>
      </c>
      <c r="B246" s="3">
        <v>529598.93999999994</v>
      </c>
      <c r="C246" s="3">
        <v>39341.449999999997</v>
      </c>
      <c r="D246" s="3">
        <v>1375</v>
      </c>
      <c r="E246" s="3">
        <v>9.2999999999999999E-2</v>
      </c>
      <c r="F246" s="3">
        <v>5</v>
      </c>
      <c r="G246" s="3">
        <v>0</v>
      </c>
      <c r="H246" s="3">
        <v>0</v>
      </c>
      <c r="I246" s="3">
        <v>1</v>
      </c>
      <c r="J246" s="3">
        <f t="shared" si="9"/>
        <v>495586.62050224998</v>
      </c>
      <c r="K246" s="3">
        <f t="shared" si="10"/>
        <v>34012.319497749966</v>
      </c>
      <c r="L246" s="1" t="str">
        <f t="shared" si="11"/>
        <v>under-predicted</v>
      </c>
    </row>
    <row r="247" spans="1:12">
      <c r="A247" s="3" t="s">
        <v>41</v>
      </c>
      <c r="B247" s="3">
        <v>691112.6</v>
      </c>
      <c r="C247" s="3">
        <v>54872.82</v>
      </c>
      <c r="D247" s="3">
        <v>5962</v>
      </c>
      <c r="E247" s="3">
        <v>6.4000000000000001E-2</v>
      </c>
      <c r="F247" s="3">
        <v>12</v>
      </c>
      <c r="G247" s="3">
        <v>1</v>
      </c>
      <c r="H247" s="3">
        <v>0</v>
      </c>
      <c r="I247" s="3">
        <v>0</v>
      </c>
      <c r="J247" s="3">
        <f t="shared" si="9"/>
        <v>656966.85310770001</v>
      </c>
      <c r="K247" s="3">
        <f t="shared" si="10"/>
        <v>34145.746892299969</v>
      </c>
      <c r="L247" s="1" t="str">
        <f t="shared" si="11"/>
        <v>under-predicted</v>
      </c>
    </row>
    <row r="248" spans="1:12">
      <c r="A248" s="3" t="s">
        <v>93</v>
      </c>
      <c r="B248" s="3">
        <v>609949</v>
      </c>
      <c r="C248" s="3">
        <v>55371.97</v>
      </c>
      <c r="D248" s="3">
        <v>4162</v>
      </c>
      <c r="E248" s="3">
        <v>0.183</v>
      </c>
      <c r="F248" s="3">
        <v>11</v>
      </c>
      <c r="G248" s="3">
        <v>0</v>
      </c>
      <c r="H248" s="3">
        <v>0</v>
      </c>
      <c r="I248" s="3">
        <v>0</v>
      </c>
      <c r="J248" s="3">
        <f t="shared" si="9"/>
        <v>575784.62116245006</v>
      </c>
      <c r="K248" s="3">
        <f t="shared" si="10"/>
        <v>34164.378837549943</v>
      </c>
      <c r="L248" s="1" t="str">
        <f t="shared" si="11"/>
        <v>under-predicted</v>
      </c>
    </row>
    <row r="249" spans="1:12">
      <c r="A249" s="3" t="s">
        <v>89</v>
      </c>
      <c r="B249" s="3">
        <v>739374.56</v>
      </c>
      <c r="C249" s="3">
        <v>23914.97</v>
      </c>
      <c r="D249" s="3">
        <v>8018</v>
      </c>
      <c r="E249" s="3">
        <v>0.13900000000000001</v>
      </c>
      <c r="F249" s="3">
        <v>20</v>
      </c>
      <c r="G249" s="3">
        <v>0</v>
      </c>
      <c r="H249" s="3">
        <v>0</v>
      </c>
      <c r="I249" s="3">
        <v>1</v>
      </c>
      <c r="J249" s="3">
        <f t="shared" si="9"/>
        <v>704894.09844944999</v>
      </c>
      <c r="K249" s="3">
        <f t="shared" si="10"/>
        <v>34480.46155055007</v>
      </c>
      <c r="L249" s="1" t="str">
        <f t="shared" si="11"/>
        <v>under-predicted</v>
      </c>
    </row>
    <row r="250" spans="1:12">
      <c r="A250" s="3" t="s">
        <v>79</v>
      </c>
      <c r="B250" s="3">
        <v>647512.85</v>
      </c>
      <c r="C250" s="3">
        <v>25818.080000000002</v>
      </c>
      <c r="D250" s="3">
        <v>5457</v>
      </c>
      <c r="E250" s="3">
        <v>0</v>
      </c>
      <c r="F250" s="3">
        <v>11</v>
      </c>
      <c r="G250" s="3">
        <v>1</v>
      </c>
      <c r="H250" s="3">
        <v>0</v>
      </c>
      <c r="I250" s="3">
        <v>0</v>
      </c>
      <c r="J250" s="3">
        <f t="shared" si="9"/>
        <v>612669.42330680008</v>
      </c>
      <c r="K250" s="3">
        <f t="shared" si="10"/>
        <v>34843.426693199901</v>
      </c>
      <c r="L250" s="1" t="str">
        <f t="shared" si="11"/>
        <v>under-predicted</v>
      </c>
    </row>
    <row r="251" spans="1:12">
      <c r="A251" s="3" t="s">
        <v>65</v>
      </c>
      <c r="B251" s="3">
        <v>780344.18</v>
      </c>
      <c r="C251" s="3">
        <v>65237.79</v>
      </c>
      <c r="D251" s="3">
        <v>8741</v>
      </c>
      <c r="E251" s="3">
        <v>0.157</v>
      </c>
      <c r="F251" s="3">
        <v>20</v>
      </c>
      <c r="G251" s="3">
        <v>0</v>
      </c>
      <c r="H251" s="3">
        <v>0</v>
      </c>
      <c r="I251" s="3">
        <v>0</v>
      </c>
      <c r="J251" s="3">
        <f t="shared" si="9"/>
        <v>744363.07427314995</v>
      </c>
      <c r="K251" s="3">
        <f t="shared" si="10"/>
        <v>35981.105726850103</v>
      </c>
      <c r="L251" s="1" t="str">
        <f t="shared" si="11"/>
        <v>under-predicted</v>
      </c>
    </row>
    <row r="252" spans="1:12">
      <c r="A252" s="3" t="s">
        <v>91</v>
      </c>
      <c r="B252" s="3">
        <v>738548.42</v>
      </c>
      <c r="C252" s="3">
        <v>36832.33</v>
      </c>
      <c r="D252" s="3">
        <v>8001</v>
      </c>
      <c r="E252" s="3">
        <v>0</v>
      </c>
      <c r="F252" s="3">
        <v>19</v>
      </c>
      <c r="G252" s="3">
        <v>0</v>
      </c>
      <c r="H252" s="3">
        <v>0</v>
      </c>
      <c r="I252" s="3">
        <v>0</v>
      </c>
      <c r="J252" s="3">
        <f t="shared" si="9"/>
        <v>701591.13861904992</v>
      </c>
      <c r="K252" s="3">
        <f t="shared" si="10"/>
        <v>36957.281380950124</v>
      </c>
      <c r="L252" s="1" t="str">
        <f t="shared" si="11"/>
        <v>under-predicted</v>
      </c>
    </row>
    <row r="253" spans="1:12">
      <c r="A253" s="3" t="s">
        <v>57</v>
      </c>
      <c r="B253" s="3">
        <v>715097.57</v>
      </c>
      <c r="C253" s="3">
        <v>45706.49</v>
      </c>
      <c r="D253" s="3">
        <v>6704</v>
      </c>
      <c r="E253" s="3">
        <v>3.7999999999999999E-2</v>
      </c>
      <c r="F253" s="3">
        <v>15</v>
      </c>
      <c r="G253" s="3">
        <v>1</v>
      </c>
      <c r="H253" s="3">
        <v>0</v>
      </c>
      <c r="I253" s="3">
        <v>0</v>
      </c>
      <c r="J253" s="3">
        <f t="shared" si="9"/>
        <v>677864.19655264996</v>
      </c>
      <c r="K253" s="3">
        <f t="shared" si="10"/>
        <v>37233.373447349994</v>
      </c>
      <c r="L253" s="1" t="str">
        <f t="shared" si="11"/>
        <v>under-predicted</v>
      </c>
    </row>
    <row r="254" spans="1:12">
      <c r="A254" s="3" t="s">
        <v>84</v>
      </c>
      <c r="B254" s="3">
        <v>606783.67000000004</v>
      </c>
      <c r="C254" s="3">
        <v>40923.67</v>
      </c>
      <c r="D254" s="3">
        <v>3875</v>
      </c>
      <c r="E254" s="3">
        <v>0.15</v>
      </c>
      <c r="F254" s="3">
        <v>10</v>
      </c>
      <c r="G254" s="3">
        <v>1</v>
      </c>
      <c r="H254" s="3">
        <v>0</v>
      </c>
      <c r="I254" s="3">
        <v>0</v>
      </c>
      <c r="J254" s="3">
        <f t="shared" si="9"/>
        <v>568671.00914494996</v>
      </c>
      <c r="K254" s="3">
        <f t="shared" si="10"/>
        <v>38112.660855050082</v>
      </c>
      <c r="L254" s="1" t="str">
        <f t="shared" si="11"/>
        <v>under-predicted</v>
      </c>
    </row>
    <row r="255" spans="1:12">
      <c r="A255" s="3" t="s">
        <v>51</v>
      </c>
      <c r="B255" s="3">
        <v>735480.19</v>
      </c>
      <c r="C255" s="3">
        <v>54968.98</v>
      </c>
      <c r="D255" s="3">
        <v>7816</v>
      </c>
      <c r="E255" s="3">
        <v>0.23200000000000001</v>
      </c>
      <c r="F255" s="3">
        <v>19</v>
      </c>
      <c r="G255" s="3">
        <v>0</v>
      </c>
      <c r="H255" s="3">
        <v>0</v>
      </c>
      <c r="I255" s="3">
        <v>0</v>
      </c>
      <c r="J255" s="3">
        <f t="shared" si="9"/>
        <v>697362.06280529988</v>
      </c>
      <c r="K255" s="3">
        <f t="shared" si="10"/>
        <v>38118.127194700064</v>
      </c>
      <c r="L255" s="1" t="str">
        <f t="shared" si="11"/>
        <v>under-predicted</v>
      </c>
    </row>
    <row r="256" spans="1:12">
      <c r="A256" s="3" t="s">
        <v>59</v>
      </c>
      <c r="B256" s="3">
        <v>712868.35</v>
      </c>
      <c r="C256" s="3">
        <v>43319.94</v>
      </c>
      <c r="D256" s="3">
        <v>6551</v>
      </c>
      <c r="E256" s="3">
        <v>4.3999999999999997E-2</v>
      </c>
      <c r="F256" s="3">
        <v>13</v>
      </c>
      <c r="G256" s="3">
        <v>0</v>
      </c>
      <c r="H256" s="3">
        <v>0</v>
      </c>
      <c r="I256" s="3">
        <v>1</v>
      </c>
      <c r="J256" s="3">
        <f t="shared" si="9"/>
        <v>674410.09754690004</v>
      </c>
      <c r="K256" s="3">
        <f t="shared" si="10"/>
        <v>38458.252453099936</v>
      </c>
      <c r="L256" s="1" t="str">
        <f t="shared" si="11"/>
        <v>under-predicted</v>
      </c>
    </row>
    <row r="257" spans="1:12">
      <c r="A257" s="3" t="s">
        <v>37</v>
      </c>
      <c r="B257" s="3">
        <v>615966.48</v>
      </c>
      <c r="C257" s="3">
        <v>37284.660000000003</v>
      </c>
      <c r="D257" s="3">
        <v>3928</v>
      </c>
      <c r="E257" s="3">
        <v>7.3999999999999996E-2</v>
      </c>
      <c r="F257" s="3">
        <v>12</v>
      </c>
      <c r="G257" s="3">
        <v>1</v>
      </c>
      <c r="H257" s="3">
        <v>0</v>
      </c>
      <c r="I257" s="3">
        <v>0</v>
      </c>
      <c r="J257" s="3">
        <f t="shared" si="9"/>
        <v>577322.43797409988</v>
      </c>
      <c r="K257" s="3">
        <f t="shared" si="10"/>
        <v>38644.042025900097</v>
      </c>
      <c r="L257" s="1" t="str">
        <f t="shared" si="11"/>
        <v>under-predicted</v>
      </c>
    </row>
    <row r="258" spans="1:12">
      <c r="A258" s="3" t="s">
        <v>92</v>
      </c>
      <c r="B258" s="3">
        <v>714083.68</v>
      </c>
      <c r="C258" s="3">
        <v>66104.19</v>
      </c>
      <c r="D258" s="3">
        <v>5745</v>
      </c>
      <c r="E258" s="3">
        <v>7.0000000000000007E-2</v>
      </c>
      <c r="F258" s="3">
        <v>17</v>
      </c>
      <c r="G258" s="3">
        <v>1</v>
      </c>
      <c r="H258" s="3">
        <v>0</v>
      </c>
      <c r="I258" s="3">
        <v>0</v>
      </c>
      <c r="J258" s="3">
        <f t="shared" ref="J258:J321" si="12">380861.975+(1.114985*C258)+(29.111154*D258)-(82179.332*E258)+(2460.175*F258)+(17099.184*G258)+(35613.769*H258)+(26173.485*I258)</f>
        <v>674980.34077714989</v>
      </c>
      <c r="K258" s="3">
        <f t="shared" ref="K258:K321" si="13">B258-J258</f>
        <v>39103.339222850162</v>
      </c>
      <c r="L258" s="1" t="str">
        <f t="shared" ref="L258:L321" si="14">IF(K258&lt;0,"over-predicted","under-predicted")</f>
        <v>under-predicted</v>
      </c>
    </row>
    <row r="259" spans="1:12">
      <c r="A259" s="3" t="s">
        <v>68</v>
      </c>
      <c r="B259" s="3">
        <v>678311.17</v>
      </c>
      <c r="C259" s="3">
        <v>57147.88</v>
      </c>
      <c r="D259" s="3">
        <v>5252</v>
      </c>
      <c r="E259" s="3">
        <v>0.161</v>
      </c>
      <c r="F259" s="3">
        <v>15</v>
      </c>
      <c r="G259" s="3">
        <v>1</v>
      </c>
      <c r="H259" s="3">
        <v>0</v>
      </c>
      <c r="I259" s="3">
        <v>0</v>
      </c>
      <c r="J259" s="3">
        <f t="shared" si="12"/>
        <v>638243.72133779991</v>
      </c>
      <c r="K259" s="3">
        <f t="shared" si="13"/>
        <v>40067.448662200128</v>
      </c>
      <c r="L259" s="1" t="str">
        <f t="shared" si="14"/>
        <v>under-predicted</v>
      </c>
    </row>
    <row r="260" spans="1:12">
      <c r="A260" s="3" t="s">
        <v>46</v>
      </c>
      <c r="B260" s="3">
        <v>675177.68</v>
      </c>
      <c r="C260" s="3">
        <v>55101.1</v>
      </c>
      <c r="D260" s="3">
        <v>5281</v>
      </c>
      <c r="E260" s="3">
        <v>0.189</v>
      </c>
      <c r="F260" s="3">
        <v>11</v>
      </c>
      <c r="G260" s="3">
        <v>0</v>
      </c>
      <c r="H260" s="3">
        <v>0</v>
      </c>
      <c r="I260" s="3">
        <v>1</v>
      </c>
      <c r="J260" s="3">
        <f t="shared" si="12"/>
        <v>633738.39550949994</v>
      </c>
      <c r="K260" s="3">
        <f t="shared" si="13"/>
        <v>41439.284490500111</v>
      </c>
      <c r="L260" s="1" t="str">
        <f t="shared" si="14"/>
        <v>under-predicted</v>
      </c>
    </row>
    <row r="261" spans="1:12">
      <c r="A261" s="3" t="s">
        <v>34</v>
      </c>
      <c r="B261" s="3">
        <v>773815.14</v>
      </c>
      <c r="C261" s="3">
        <v>65312.49</v>
      </c>
      <c r="D261" s="3">
        <v>7189</v>
      </c>
      <c r="E261" s="3">
        <v>0.05</v>
      </c>
      <c r="F261" s="3">
        <v>19</v>
      </c>
      <c r="G261" s="3">
        <v>0</v>
      </c>
      <c r="H261" s="3">
        <v>0</v>
      </c>
      <c r="I261" s="3">
        <v>1</v>
      </c>
      <c r="J261" s="3">
        <f t="shared" si="12"/>
        <v>731772.35116864985</v>
      </c>
      <c r="K261" s="3">
        <f t="shared" si="13"/>
        <v>42042.788831350161</v>
      </c>
      <c r="L261" s="1" t="str">
        <f t="shared" si="14"/>
        <v>under-predicted</v>
      </c>
    </row>
    <row r="262" spans="1:12">
      <c r="A262" s="3" t="s">
        <v>79</v>
      </c>
      <c r="B262" s="3">
        <v>870937.4</v>
      </c>
      <c r="C262" s="3">
        <v>113736</v>
      </c>
      <c r="D262" s="3">
        <v>8961</v>
      </c>
      <c r="E262" s="3">
        <v>0.20200000000000001</v>
      </c>
      <c r="F262" s="3">
        <v>24</v>
      </c>
      <c r="G262" s="3">
        <v>1</v>
      </c>
      <c r="H262" s="3">
        <v>0</v>
      </c>
      <c r="I262" s="3">
        <v>0</v>
      </c>
      <c r="J262" s="3">
        <f t="shared" si="12"/>
        <v>828084.11888999993</v>
      </c>
      <c r="K262" s="3">
        <f t="shared" si="13"/>
        <v>42853.281110000098</v>
      </c>
      <c r="L262" s="1" t="str">
        <f t="shared" si="14"/>
        <v>under-predicted</v>
      </c>
    </row>
    <row r="263" spans="1:12">
      <c r="A263" s="3" t="s">
        <v>56</v>
      </c>
      <c r="B263" s="3">
        <v>646559.71</v>
      </c>
      <c r="C263" s="3">
        <v>44211.95</v>
      </c>
      <c r="D263" s="3">
        <v>5465</v>
      </c>
      <c r="E263" s="3">
        <v>0.187</v>
      </c>
      <c r="F263" s="3">
        <v>12</v>
      </c>
      <c r="G263" s="3">
        <v>0</v>
      </c>
      <c r="H263" s="3">
        <v>0</v>
      </c>
      <c r="I263" s="3">
        <v>0</v>
      </c>
      <c r="J263" s="3">
        <f t="shared" si="12"/>
        <v>603404.65759674995</v>
      </c>
      <c r="K263" s="3">
        <f t="shared" si="13"/>
        <v>43155.052403250011</v>
      </c>
      <c r="L263" s="1" t="str">
        <f t="shared" si="14"/>
        <v>under-predicted</v>
      </c>
    </row>
    <row r="264" spans="1:12">
      <c r="A264" s="3" t="s">
        <v>88</v>
      </c>
      <c r="B264" s="3">
        <v>762328.31</v>
      </c>
      <c r="C264" s="3">
        <v>67722.289999999994</v>
      </c>
      <c r="D264" s="3">
        <v>7240</v>
      </c>
      <c r="E264" s="3">
        <v>2.5999999999999999E-2</v>
      </c>
      <c r="F264" s="3">
        <v>15</v>
      </c>
      <c r="G264" s="3">
        <v>1</v>
      </c>
      <c r="H264" s="3">
        <v>0</v>
      </c>
      <c r="I264" s="3">
        <v>0</v>
      </c>
      <c r="J264" s="3">
        <f t="shared" si="12"/>
        <v>719001.21384364995</v>
      </c>
      <c r="K264" s="3">
        <f t="shared" si="13"/>
        <v>43327.096156350104</v>
      </c>
      <c r="L264" s="1" t="str">
        <f t="shared" si="14"/>
        <v>under-predicted</v>
      </c>
    </row>
    <row r="265" spans="1:12">
      <c r="A265" s="3" t="s">
        <v>75</v>
      </c>
      <c r="B265" s="3">
        <v>812152.6</v>
      </c>
      <c r="C265" s="3">
        <v>50887.46</v>
      </c>
      <c r="D265" s="3">
        <v>9505</v>
      </c>
      <c r="E265" s="3">
        <v>9.0999999999999998E-2</v>
      </c>
      <c r="F265" s="3">
        <v>25</v>
      </c>
      <c r="G265" s="3">
        <v>0</v>
      </c>
      <c r="H265" s="3">
        <v>0</v>
      </c>
      <c r="I265" s="3">
        <v>0</v>
      </c>
      <c r="J265" s="3">
        <f t="shared" si="12"/>
        <v>768328.30414609995</v>
      </c>
      <c r="K265" s="3">
        <f t="shared" si="13"/>
        <v>43824.295853900025</v>
      </c>
      <c r="L265" s="1" t="str">
        <f t="shared" si="14"/>
        <v>under-predicted</v>
      </c>
    </row>
    <row r="266" spans="1:12">
      <c r="A266" s="3" t="s">
        <v>87</v>
      </c>
      <c r="B266" s="3">
        <v>636613.23</v>
      </c>
      <c r="C266" s="3">
        <v>58688.26</v>
      </c>
      <c r="D266" s="3">
        <v>4022</v>
      </c>
      <c r="E266" s="3">
        <v>0.217</v>
      </c>
      <c r="F266" s="3">
        <v>12</v>
      </c>
      <c r="G266" s="3">
        <v>1</v>
      </c>
      <c r="H266" s="3">
        <v>0</v>
      </c>
      <c r="I266" s="3">
        <v>0</v>
      </c>
      <c r="J266" s="3">
        <f t="shared" si="12"/>
        <v>592171.93492009991</v>
      </c>
      <c r="K266" s="3">
        <f t="shared" si="13"/>
        <v>44441.295079900068</v>
      </c>
      <c r="L266" s="1" t="str">
        <f t="shared" si="14"/>
        <v>under-predicted</v>
      </c>
    </row>
    <row r="267" spans="1:12">
      <c r="A267" s="3" t="s">
        <v>39</v>
      </c>
      <c r="B267" s="3">
        <v>605023.87</v>
      </c>
      <c r="C267" s="3">
        <v>60571.82</v>
      </c>
      <c r="D267" s="3">
        <v>3193</v>
      </c>
      <c r="E267" s="3">
        <v>0.19700000000000001</v>
      </c>
      <c r="F267" s="3">
        <v>7</v>
      </c>
      <c r="G267" s="3">
        <v>1</v>
      </c>
      <c r="H267" s="3">
        <v>0</v>
      </c>
      <c r="I267" s="3">
        <v>0</v>
      </c>
      <c r="J267" s="3">
        <f t="shared" si="12"/>
        <v>559481.64104069991</v>
      </c>
      <c r="K267" s="3">
        <f t="shared" si="13"/>
        <v>45542.22895930009</v>
      </c>
      <c r="L267" s="1" t="str">
        <f t="shared" si="14"/>
        <v>under-predicted</v>
      </c>
    </row>
    <row r="268" spans="1:12">
      <c r="A268" s="3" t="s">
        <v>76</v>
      </c>
      <c r="B268" s="3">
        <v>673348.56</v>
      </c>
      <c r="C268" s="3">
        <v>58785.33</v>
      </c>
      <c r="D268" s="3">
        <v>4467</v>
      </c>
      <c r="E268" s="3">
        <v>0.22900000000000001</v>
      </c>
      <c r="F268" s="3">
        <v>14</v>
      </c>
      <c r="G268" s="3">
        <v>0</v>
      </c>
      <c r="H268" s="3">
        <v>1</v>
      </c>
      <c r="I268" s="3">
        <v>0</v>
      </c>
      <c r="J268" s="3">
        <f t="shared" si="12"/>
        <v>627683.41306004988</v>
      </c>
      <c r="K268" s="3">
        <f t="shared" si="13"/>
        <v>45665.14693995018</v>
      </c>
      <c r="L268" s="1" t="str">
        <f t="shared" si="14"/>
        <v>under-predicted</v>
      </c>
    </row>
    <row r="269" spans="1:12">
      <c r="A269" s="3" t="s">
        <v>47</v>
      </c>
      <c r="B269" s="3">
        <v>635181.35</v>
      </c>
      <c r="C269" s="3">
        <v>53084.76</v>
      </c>
      <c r="D269" s="3">
        <v>3642</v>
      </c>
      <c r="E269" s="3">
        <v>0.15</v>
      </c>
      <c r="F269" s="3">
        <v>12</v>
      </c>
      <c r="G269" s="3">
        <v>0</v>
      </c>
      <c r="H269" s="3">
        <v>0</v>
      </c>
      <c r="I269" s="3">
        <v>1</v>
      </c>
      <c r="J269" s="3">
        <f t="shared" si="12"/>
        <v>589442.19419659988</v>
      </c>
      <c r="K269" s="3">
        <f t="shared" si="13"/>
        <v>45739.155803400092</v>
      </c>
      <c r="L269" s="1" t="str">
        <f t="shared" si="14"/>
        <v>under-predicted</v>
      </c>
    </row>
    <row r="270" spans="1:12">
      <c r="A270" s="3" t="s">
        <v>59</v>
      </c>
      <c r="B270" s="3">
        <v>725847.99</v>
      </c>
      <c r="C270" s="3">
        <v>71855.09</v>
      </c>
      <c r="D270" s="3">
        <v>5911</v>
      </c>
      <c r="E270" s="3">
        <v>0.19700000000000001</v>
      </c>
      <c r="F270" s="3">
        <v>15</v>
      </c>
      <c r="G270" s="3">
        <v>0</v>
      </c>
      <c r="H270" s="3">
        <v>0</v>
      </c>
      <c r="I270" s="3">
        <v>1</v>
      </c>
      <c r="J270" s="3">
        <f t="shared" si="12"/>
        <v>679942.13541364984</v>
      </c>
      <c r="K270" s="3">
        <f t="shared" si="13"/>
        <v>45905.854586350149</v>
      </c>
      <c r="L270" s="1" t="str">
        <f t="shared" si="14"/>
        <v>under-predicted</v>
      </c>
    </row>
    <row r="271" spans="1:12">
      <c r="A271" s="3" t="s">
        <v>35</v>
      </c>
      <c r="B271" s="3">
        <v>720852.5</v>
      </c>
      <c r="C271" s="3">
        <v>81195.5</v>
      </c>
      <c r="D271" s="3">
        <v>5516</v>
      </c>
      <c r="E271" s="3">
        <v>0.106</v>
      </c>
      <c r="F271" s="3">
        <v>14</v>
      </c>
      <c r="G271" s="3">
        <v>1</v>
      </c>
      <c r="H271" s="3">
        <v>0</v>
      </c>
      <c r="I271" s="3">
        <v>0</v>
      </c>
      <c r="J271" s="3">
        <f t="shared" si="12"/>
        <v>674801.48983949982</v>
      </c>
      <c r="K271" s="3">
        <f t="shared" si="13"/>
        <v>46051.010160500184</v>
      </c>
      <c r="L271" s="1" t="str">
        <f t="shared" si="14"/>
        <v>under-predicted</v>
      </c>
    </row>
    <row r="272" spans="1:12">
      <c r="A272" s="3" t="s">
        <v>41</v>
      </c>
      <c r="B272" s="3">
        <v>776922.17</v>
      </c>
      <c r="C272" s="3">
        <v>80562.81</v>
      </c>
      <c r="D272" s="3">
        <v>7470</v>
      </c>
      <c r="E272" s="3">
        <v>0.17199999999999999</v>
      </c>
      <c r="F272" s="3">
        <v>16</v>
      </c>
      <c r="G272" s="3">
        <v>1</v>
      </c>
      <c r="H272" s="3">
        <v>0</v>
      </c>
      <c r="I272" s="3">
        <v>0</v>
      </c>
      <c r="J272" s="3">
        <f t="shared" si="12"/>
        <v>730475.75898385001</v>
      </c>
      <c r="K272" s="3">
        <f t="shared" si="13"/>
        <v>46446.411016150028</v>
      </c>
      <c r="L272" s="1" t="str">
        <f t="shared" si="14"/>
        <v>under-predicted</v>
      </c>
    </row>
    <row r="273" spans="1:12">
      <c r="A273" s="3" t="s">
        <v>86</v>
      </c>
      <c r="B273" s="3">
        <v>776110.32</v>
      </c>
      <c r="C273" s="3">
        <v>38397.82</v>
      </c>
      <c r="D273" s="3">
        <v>7836</v>
      </c>
      <c r="E273" s="3">
        <v>7.0000000000000001E-3</v>
      </c>
      <c r="F273" s="3">
        <v>21</v>
      </c>
      <c r="G273" s="3">
        <v>0</v>
      </c>
      <c r="H273" s="3">
        <v>0</v>
      </c>
      <c r="I273" s="3">
        <v>1</v>
      </c>
      <c r="J273" s="3">
        <f t="shared" si="12"/>
        <v>729051.87575269991</v>
      </c>
      <c r="K273" s="3">
        <f t="shared" si="13"/>
        <v>47058.444247300038</v>
      </c>
      <c r="L273" s="1" t="str">
        <f t="shared" si="14"/>
        <v>under-predicted</v>
      </c>
    </row>
    <row r="274" spans="1:12">
      <c r="A274" s="3" t="s">
        <v>33</v>
      </c>
      <c r="B274" s="3">
        <v>614800.09</v>
      </c>
      <c r="C274" s="3">
        <v>50043.65</v>
      </c>
      <c r="D274" s="3">
        <v>3804</v>
      </c>
      <c r="E274" s="3">
        <v>0.113</v>
      </c>
      <c r="F274" s="3">
        <v>11</v>
      </c>
      <c r="G274" s="3">
        <v>0</v>
      </c>
      <c r="H274" s="3">
        <v>0</v>
      </c>
      <c r="I274" s="3">
        <v>0</v>
      </c>
      <c r="J274" s="3">
        <f t="shared" si="12"/>
        <v>565174.38439525</v>
      </c>
      <c r="K274" s="3">
        <f t="shared" si="13"/>
        <v>49625.705604749965</v>
      </c>
      <c r="L274" s="1" t="str">
        <f t="shared" si="14"/>
        <v>under-predicted</v>
      </c>
    </row>
    <row r="275" spans="1:12">
      <c r="A275" s="3" t="s">
        <v>37</v>
      </c>
      <c r="B275" s="3">
        <v>761860.19</v>
      </c>
      <c r="C275" s="3">
        <v>74954.47</v>
      </c>
      <c r="D275" s="3">
        <v>6620</v>
      </c>
      <c r="E275" s="3">
        <v>5.3999999999999999E-2</v>
      </c>
      <c r="F275" s="3">
        <v>17</v>
      </c>
      <c r="G275" s="3">
        <v>1</v>
      </c>
      <c r="H275" s="3">
        <v>0</v>
      </c>
      <c r="I275" s="3">
        <v>0</v>
      </c>
      <c r="J275" s="3">
        <f t="shared" si="12"/>
        <v>711635.39928494988</v>
      </c>
      <c r="K275" s="3">
        <f t="shared" si="13"/>
        <v>50224.790715050069</v>
      </c>
      <c r="L275" s="1" t="str">
        <f t="shared" si="14"/>
        <v>under-predicted</v>
      </c>
    </row>
    <row r="276" spans="1:12">
      <c r="A276" s="3" t="s">
        <v>90</v>
      </c>
      <c r="B276" s="3">
        <v>686737.87</v>
      </c>
      <c r="C276" s="3">
        <v>38297.58</v>
      </c>
      <c r="D276" s="3">
        <v>5893</v>
      </c>
      <c r="E276" s="3">
        <v>0.247</v>
      </c>
      <c r="F276" s="3">
        <v>18</v>
      </c>
      <c r="G276" s="3">
        <v>1</v>
      </c>
      <c r="H276" s="3">
        <v>0</v>
      </c>
      <c r="I276" s="3">
        <v>0</v>
      </c>
      <c r="J276" s="3">
        <f t="shared" si="12"/>
        <v>636199.27175429999</v>
      </c>
      <c r="K276" s="3">
        <f t="shared" si="13"/>
        <v>50538.598245700006</v>
      </c>
      <c r="L276" s="1" t="str">
        <f t="shared" si="14"/>
        <v>under-predicted</v>
      </c>
    </row>
    <row r="277" spans="1:12">
      <c r="A277" s="3" t="s">
        <v>32</v>
      </c>
      <c r="B277" s="3">
        <v>657429.18000000005</v>
      </c>
      <c r="C277" s="3">
        <v>68077.539999999994</v>
      </c>
      <c r="D277" s="3">
        <v>3360</v>
      </c>
      <c r="E277" s="3">
        <v>0.128</v>
      </c>
      <c r="F277" s="3">
        <v>14</v>
      </c>
      <c r="G277" s="3">
        <v>0</v>
      </c>
      <c r="H277" s="3">
        <v>0</v>
      </c>
      <c r="I277" s="3">
        <v>1</v>
      </c>
      <c r="J277" s="3">
        <f t="shared" si="12"/>
        <v>604677.86888089997</v>
      </c>
      <c r="K277" s="3">
        <f t="shared" si="13"/>
        <v>52751.311119100079</v>
      </c>
      <c r="L277" s="1" t="str">
        <f t="shared" si="14"/>
        <v>under-predicted</v>
      </c>
    </row>
    <row r="278" spans="1:12">
      <c r="A278" s="3" t="s">
        <v>35</v>
      </c>
      <c r="B278" s="3">
        <v>746677.75</v>
      </c>
      <c r="C278" s="3">
        <v>99874.01</v>
      </c>
      <c r="D278" s="3">
        <v>5887</v>
      </c>
      <c r="E278" s="3">
        <v>0.26200000000000001</v>
      </c>
      <c r="F278" s="3">
        <v>14</v>
      </c>
      <c r="G278" s="3">
        <v>1</v>
      </c>
      <c r="H278" s="3">
        <v>0</v>
      </c>
      <c r="I278" s="3">
        <v>0</v>
      </c>
      <c r="J278" s="3">
        <f t="shared" si="12"/>
        <v>693608.01065384992</v>
      </c>
      <c r="K278" s="3">
        <f t="shared" si="13"/>
        <v>53069.739346150076</v>
      </c>
      <c r="L278" s="1" t="str">
        <f t="shared" si="14"/>
        <v>under-predicted</v>
      </c>
    </row>
    <row r="279" spans="1:12">
      <c r="A279" s="3" t="s">
        <v>98</v>
      </c>
      <c r="B279" s="3">
        <v>665342.49</v>
      </c>
      <c r="C279" s="3">
        <v>22387.26</v>
      </c>
      <c r="D279" s="3">
        <v>6301</v>
      </c>
      <c r="E279" s="3">
        <v>0.14599999999999999</v>
      </c>
      <c r="F279" s="3">
        <v>14</v>
      </c>
      <c r="G279" s="3">
        <v>0</v>
      </c>
      <c r="H279" s="3">
        <v>0</v>
      </c>
      <c r="I279" s="3">
        <v>0</v>
      </c>
      <c r="J279" s="3">
        <f t="shared" si="12"/>
        <v>611697.0829730999</v>
      </c>
      <c r="K279" s="3">
        <f t="shared" si="13"/>
        <v>53645.407026900095</v>
      </c>
      <c r="L279" s="1" t="str">
        <f t="shared" si="14"/>
        <v>under-predicted</v>
      </c>
    </row>
    <row r="280" spans="1:12">
      <c r="A280" s="3" t="s">
        <v>59</v>
      </c>
      <c r="B280" s="3">
        <v>696744.15</v>
      </c>
      <c r="C280" s="3">
        <v>47093.55</v>
      </c>
      <c r="D280" s="3">
        <v>5550</v>
      </c>
      <c r="E280" s="3">
        <v>0.1</v>
      </c>
      <c r="F280" s="3">
        <v>12</v>
      </c>
      <c r="G280" s="3">
        <v>0</v>
      </c>
      <c r="H280" s="3">
        <v>0</v>
      </c>
      <c r="I280" s="3">
        <v>1</v>
      </c>
      <c r="J280" s="3">
        <f t="shared" si="12"/>
        <v>642415.13334674994</v>
      </c>
      <c r="K280" s="3">
        <f t="shared" si="13"/>
        <v>54329.016653250088</v>
      </c>
      <c r="L280" s="1" t="str">
        <f t="shared" si="14"/>
        <v>under-predicted</v>
      </c>
    </row>
    <row r="281" spans="1:12">
      <c r="A281" s="3" t="s">
        <v>50</v>
      </c>
      <c r="B281" s="3">
        <v>873380.02</v>
      </c>
      <c r="C281" s="3">
        <v>80176.34</v>
      </c>
      <c r="D281" s="3">
        <v>9489</v>
      </c>
      <c r="E281" s="3">
        <v>0.14199999999999999</v>
      </c>
      <c r="F281" s="3">
        <v>22</v>
      </c>
      <c r="G281" s="3">
        <v>0</v>
      </c>
      <c r="H281" s="3">
        <v>0</v>
      </c>
      <c r="I281" s="3">
        <v>1</v>
      </c>
      <c r="J281" s="3">
        <f t="shared" si="12"/>
        <v>815121.00161689986</v>
      </c>
      <c r="K281" s="3">
        <f t="shared" si="13"/>
        <v>58259.018383100163</v>
      </c>
      <c r="L281" s="1" t="str">
        <f t="shared" si="14"/>
        <v>under-predicted</v>
      </c>
    </row>
    <row r="282" spans="1:12">
      <c r="A282" s="3" t="s">
        <v>57</v>
      </c>
      <c r="B282" s="3">
        <v>715890.53</v>
      </c>
      <c r="C282" s="3">
        <v>51430.31</v>
      </c>
      <c r="D282" s="3">
        <v>6427</v>
      </c>
      <c r="E282" s="3">
        <v>0.23400000000000001</v>
      </c>
      <c r="F282" s="3">
        <v>14</v>
      </c>
      <c r="G282" s="3">
        <v>1</v>
      </c>
      <c r="H282" s="3">
        <v>0</v>
      </c>
      <c r="I282" s="3">
        <v>0</v>
      </c>
      <c r="J282" s="3">
        <f t="shared" si="12"/>
        <v>657615.05626534997</v>
      </c>
      <c r="K282" s="3">
        <f t="shared" si="13"/>
        <v>58275.473734650062</v>
      </c>
      <c r="L282" s="1" t="str">
        <f t="shared" si="14"/>
        <v>under-predicted</v>
      </c>
    </row>
    <row r="283" spans="1:12">
      <c r="A283" s="3" t="s">
        <v>66</v>
      </c>
      <c r="B283" s="3">
        <v>898031.04</v>
      </c>
      <c r="C283" s="3">
        <v>74881.56</v>
      </c>
      <c r="D283" s="3">
        <v>9999</v>
      </c>
      <c r="E283" s="3">
        <v>1.2999999999999999E-2</v>
      </c>
      <c r="F283" s="3">
        <v>20</v>
      </c>
      <c r="G283" s="3">
        <v>0</v>
      </c>
      <c r="H283" s="3">
        <v>1</v>
      </c>
      <c r="I283" s="3">
        <v>0</v>
      </c>
      <c r="J283" s="3">
        <f t="shared" si="12"/>
        <v>839185.15770659992</v>
      </c>
      <c r="K283" s="3">
        <f t="shared" si="13"/>
        <v>58845.882293400122</v>
      </c>
      <c r="L283" s="1" t="str">
        <f t="shared" si="14"/>
        <v>under-predicted</v>
      </c>
    </row>
    <row r="284" spans="1:12">
      <c r="A284" s="3" t="s">
        <v>100</v>
      </c>
      <c r="B284" s="3">
        <v>844710.67</v>
      </c>
      <c r="C284" s="3">
        <v>66456.28</v>
      </c>
      <c r="D284" s="3">
        <v>9967</v>
      </c>
      <c r="E284" s="3">
        <v>0.108</v>
      </c>
      <c r="F284" s="3">
        <v>20</v>
      </c>
      <c r="G284" s="3">
        <v>0</v>
      </c>
      <c r="H284" s="3">
        <v>0</v>
      </c>
      <c r="I284" s="3">
        <v>0</v>
      </c>
      <c r="J284" s="3">
        <f t="shared" si="12"/>
        <v>785438.73441779998</v>
      </c>
      <c r="K284" s="3">
        <f t="shared" si="13"/>
        <v>59271.935582200065</v>
      </c>
      <c r="L284" s="1" t="str">
        <f t="shared" si="14"/>
        <v>under-predicted</v>
      </c>
    </row>
    <row r="285" spans="1:12">
      <c r="A285" s="3" t="s">
        <v>61</v>
      </c>
      <c r="B285" s="3">
        <v>620973.03</v>
      </c>
      <c r="C285" s="3">
        <v>23254.57</v>
      </c>
      <c r="D285" s="3">
        <v>3847</v>
      </c>
      <c r="E285" s="3">
        <v>0.159</v>
      </c>
      <c r="F285" s="3">
        <v>12</v>
      </c>
      <c r="G285" s="3">
        <v>0</v>
      </c>
      <c r="H285" s="3">
        <v>0</v>
      </c>
      <c r="I285" s="3">
        <v>1</v>
      </c>
      <c r="J285" s="3">
        <f t="shared" si="12"/>
        <v>561410.15238144994</v>
      </c>
      <c r="K285" s="3">
        <f t="shared" si="13"/>
        <v>59562.87761855009</v>
      </c>
      <c r="L285" s="1" t="str">
        <f t="shared" si="14"/>
        <v>under-predicted</v>
      </c>
    </row>
    <row r="286" spans="1:12">
      <c r="A286" s="3" t="s">
        <v>87</v>
      </c>
      <c r="B286" s="3">
        <v>677640.65</v>
      </c>
      <c r="C286" s="3">
        <v>51450.55</v>
      </c>
      <c r="D286" s="3">
        <v>4902</v>
      </c>
      <c r="E286" s="3">
        <v>8.5999999999999993E-2</v>
      </c>
      <c r="F286" s="3">
        <v>11</v>
      </c>
      <c r="G286" s="3">
        <v>1</v>
      </c>
      <c r="H286" s="3">
        <v>0</v>
      </c>
      <c r="I286" s="3">
        <v>0</v>
      </c>
      <c r="J286" s="3">
        <f t="shared" si="12"/>
        <v>618025.12984774995</v>
      </c>
      <c r="K286" s="3">
        <f t="shared" si="13"/>
        <v>59615.520152250072</v>
      </c>
      <c r="L286" s="1" t="str">
        <f t="shared" si="14"/>
        <v>under-predicted</v>
      </c>
    </row>
    <row r="287" spans="1:12">
      <c r="A287" s="3" t="s">
        <v>100</v>
      </c>
      <c r="B287" s="3">
        <v>712375.77</v>
      </c>
      <c r="C287" s="3">
        <v>62507.16</v>
      </c>
      <c r="D287" s="3">
        <v>6000</v>
      </c>
      <c r="E287" s="3">
        <v>9.0999999999999998E-2</v>
      </c>
      <c r="F287" s="3">
        <v>14</v>
      </c>
      <c r="G287" s="3">
        <v>0</v>
      </c>
      <c r="H287" s="3">
        <v>0</v>
      </c>
      <c r="I287" s="3">
        <v>0</v>
      </c>
      <c r="J287" s="3">
        <f t="shared" si="12"/>
        <v>652187.57558059995</v>
      </c>
      <c r="K287" s="3">
        <f t="shared" si="13"/>
        <v>60188.194419400068</v>
      </c>
      <c r="L287" s="1" t="str">
        <f t="shared" si="14"/>
        <v>under-predicted</v>
      </c>
    </row>
    <row r="288" spans="1:12">
      <c r="A288" s="3" t="s">
        <v>73</v>
      </c>
      <c r="B288" s="3">
        <v>795464.47</v>
      </c>
      <c r="C288" s="3">
        <v>54300.87</v>
      </c>
      <c r="D288" s="3">
        <v>7875</v>
      </c>
      <c r="E288" s="3">
        <v>0.107</v>
      </c>
      <c r="F288" s="3">
        <v>19</v>
      </c>
      <c r="G288" s="3">
        <v>0</v>
      </c>
      <c r="H288" s="3">
        <v>0</v>
      </c>
      <c r="I288" s="3">
        <v>1</v>
      </c>
      <c r="J288" s="3">
        <f t="shared" si="12"/>
        <v>734780.58976294985</v>
      </c>
      <c r="K288" s="3">
        <f t="shared" si="13"/>
        <v>60683.880237050122</v>
      </c>
      <c r="L288" s="1" t="str">
        <f t="shared" si="14"/>
        <v>under-predicted</v>
      </c>
    </row>
    <row r="289" spans="1:12">
      <c r="A289" s="3" t="s">
        <v>42</v>
      </c>
      <c r="B289" s="3">
        <v>682208.01</v>
      </c>
      <c r="C289" s="3">
        <v>60628.38</v>
      </c>
      <c r="D289" s="3">
        <v>4451</v>
      </c>
      <c r="E289" s="3">
        <v>9.5000000000000001E-2</v>
      </c>
      <c r="F289" s="3">
        <v>10</v>
      </c>
      <c r="G289" s="3">
        <v>0</v>
      </c>
      <c r="H289" s="3">
        <v>0</v>
      </c>
      <c r="I289" s="3">
        <v>1</v>
      </c>
      <c r="J289" s="3">
        <f t="shared" si="12"/>
        <v>621003.6541882999</v>
      </c>
      <c r="K289" s="3">
        <f t="shared" si="13"/>
        <v>61204.355811700108</v>
      </c>
      <c r="L289" s="1" t="str">
        <f t="shared" si="14"/>
        <v>under-predicted</v>
      </c>
    </row>
    <row r="290" spans="1:12">
      <c r="A290" s="3" t="s">
        <v>75</v>
      </c>
      <c r="B290" s="3">
        <v>804975.5</v>
      </c>
      <c r="C290" s="3">
        <v>41819.449999999997</v>
      </c>
      <c r="D290" s="3">
        <v>9412</v>
      </c>
      <c r="E290" s="3">
        <v>0.15</v>
      </c>
      <c r="F290" s="3">
        <v>22</v>
      </c>
      <c r="G290" s="3">
        <v>0</v>
      </c>
      <c r="H290" s="3">
        <v>0</v>
      </c>
      <c r="I290" s="3">
        <v>0</v>
      </c>
      <c r="J290" s="3">
        <f t="shared" si="12"/>
        <v>743281.16610625002</v>
      </c>
      <c r="K290" s="3">
        <f t="shared" si="13"/>
        <v>61694.333893749979</v>
      </c>
      <c r="L290" s="1" t="str">
        <f t="shared" si="14"/>
        <v>under-predicted</v>
      </c>
    </row>
    <row r="291" spans="1:12">
      <c r="A291" s="3" t="s">
        <v>39</v>
      </c>
      <c r="B291" s="3">
        <v>661927.14</v>
      </c>
      <c r="C291" s="3">
        <v>70937.240000000005</v>
      </c>
      <c r="D291" s="3">
        <v>3595</v>
      </c>
      <c r="E291" s="3">
        <v>0.14099999999999999</v>
      </c>
      <c r="F291" s="3">
        <v>11</v>
      </c>
      <c r="G291" s="3">
        <v>1</v>
      </c>
      <c r="H291" s="3">
        <v>0</v>
      </c>
      <c r="I291" s="3">
        <v>0</v>
      </c>
      <c r="J291" s="3">
        <f t="shared" si="12"/>
        <v>597184.35535940004</v>
      </c>
      <c r="K291" s="3">
        <f t="shared" si="13"/>
        <v>64742.784640599973</v>
      </c>
      <c r="L291" s="1" t="str">
        <f t="shared" si="14"/>
        <v>under-predicted</v>
      </c>
    </row>
    <row r="292" spans="1:12">
      <c r="A292" s="3" t="s">
        <v>66</v>
      </c>
      <c r="B292" s="3">
        <v>783582</v>
      </c>
      <c r="C292" s="3">
        <v>29389.32</v>
      </c>
      <c r="D292" s="3">
        <v>7925</v>
      </c>
      <c r="E292" s="3">
        <v>0.17699999999999999</v>
      </c>
      <c r="F292" s="3">
        <v>21</v>
      </c>
      <c r="G292" s="3">
        <v>0</v>
      </c>
      <c r="H292" s="3">
        <v>1</v>
      </c>
      <c r="I292" s="3">
        <v>0</v>
      </c>
      <c r="J292" s="3">
        <f t="shared" si="12"/>
        <v>717068.22364619991</v>
      </c>
      <c r="K292" s="3">
        <f t="shared" si="13"/>
        <v>66513.776353800087</v>
      </c>
      <c r="L292" s="1" t="str">
        <f t="shared" si="14"/>
        <v>under-predicted</v>
      </c>
    </row>
    <row r="293" spans="1:12">
      <c r="A293" s="3" t="s">
        <v>56</v>
      </c>
      <c r="B293" s="3">
        <v>743348.84</v>
      </c>
      <c r="C293" s="3">
        <v>75109.67</v>
      </c>
      <c r="D293" s="3">
        <v>6244</v>
      </c>
      <c r="E293" s="3">
        <v>7.9000000000000001E-2</v>
      </c>
      <c r="F293" s="3">
        <v>15</v>
      </c>
      <c r="G293" s="3">
        <v>0</v>
      </c>
      <c r="H293" s="3">
        <v>0</v>
      </c>
      <c r="I293" s="3">
        <v>0</v>
      </c>
      <c r="J293" s="3">
        <f t="shared" si="12"/>
        <v>676788.63375295</v>
      </c>
      <c r="K293" s="3">
        <f t="shared" si="13"/>
        <v>66560.206247049966</v>
      </c>
      <c r="L293" s="1" t="str">
        <f t="shared" si="14"/>
        <v>under-predicted</v>
      </c>
    </row>
    <row r="294" spans="1:12">
      <c r="A294" s="3" t="s">
        <v>71</v>
      </c>
      <c r="B294" s="3">
        <v>691447.43</v>
      </c>
      <c r="C294" s="3">
        <v>71851.45</v>
      </c>
      <c r="D294" s="3">
        <v>4970</v>
      </c>
      <c r="E294" s="3">
        <v>9.8000000000000004E-2</v>
      </c>
      <c r="F294" s="3">
        <v>11</v>
      </c>
      <c r="G294" s="3">
        <v>0</v>
      </c>
      <c r="H294" s="3">
        <v>0</v>
      </c>
      <c r="I294" s="3">
        <v>0</v>
      </c>
      <c r="J294" s="3">
        <f t="shared" si="12"/>
        <v>624666.04982225003</v>
      </c>
      <c r="K294" s="3">
        <f t="shared" si="13"/>
        <v>66781.380177750019</v>
      </c>
      <c r="L294" s="1" t="str">
        <f t="shared" si="14"/>
        <v>under-predicted</v>
      </c>
    </row>
    <row r="295" spans="1:12">
      <c r="A295" s="3" t="s">
        <v>19</v>
      </c>
      <c r="B295" s="3">
        <v>930581.7</v>
      </c>
      <c r="C295" s="3">
        <v>71838.86</v>
      </c>
      <c r="D295" s="3">
        <v>10979</v>
      </c>
      <c r="E295" s="3">
        <v>0.215</v>
      </c>
      <c r="F295" s="3">
        <v>26</v>
      </c>
      <c r="G295" s="3">
        <v>0</v>
      </c>
      <c r="H295" s="3">
        <v>1</v>
      </c>
      <c r="I295" s="3">
        <v>0</v>
      </c>
      <c r="J295" s="3">
        <f t="shared" si="12"/>
        <v>862482.3487031</v>
      </c>
      <c r="K295" s="3">
        <f t="shared" si="13"/>
        <v>68099.351296899957</v>
      </c>
      <c r="L295" s="1" t="str">
        <f t="shared" si="14"/>
        <v>under-predicted</v>
      </c>
    </row>
    <row r="296" spans="1:12">
      <c r="A296" s="3" t="s">
        <v>45</v>
      </c>
      <c r="B296" s="3">
        <v>753473.55</v>
      </c>
      <c r="C296" s="3">
        <v>67439.3</v>
      </c>
      <c r="D296" s="3">
        <v>6477</v>
      </c>
      <c r="E296" s="3">
        <v>0</v>
      </c>
      <c r="F296" s="3">
        <v>16</v>
      </c>
      <c r="G296" s="3">
        <v>0</v>
      </c>
      <c r="H296" s="3">
        <v>0</v>
      </c>
      <c r="I296" s="3">
        <v>0</v>
      </c>
      <c r="J296" s="3">
        <f t="shared" si="12"/>
        <v>683971.52736850001</v>
      </c>
      <c r="K296" s="3">
        <f t="shared" si="13"/>
        <v>69502.022631500033</v>
      </c>
      <c r="L296" s="1" t="str">
        <f t="shared" si="14"/>
        <v>under-predicted</v>
      </c>
    </row>
    <row r="297" spans="1:12">
      <c r="A297" s="3" t="s">
        <v>53</v>
      </c>
      <c r="B297" s="3">
        <v>842157.92</v>
      </c>
      <c r="C297" s="3">
        <v>56517.9</v>
      </c>
      <c r="D297" s="3">
        <v>9574</v>
      </c>
      <c r="E297" s="3">
        <v>0.20399999999999999</v>
      </c>
      <c r="F297" s="3">
        <v>20</v>
      </c>
      <c r="G297" s="3">
        <v>1</v>
      </c>
      <c r="H297" s="3">
        <v>0</v>
      </c>
      <c r="I297" s="3">
        <v>0</v>
      </c>
      <c r="J297" s="3">
        <f t="shared" si="12"/>
        <v>772126.87439949985</v>
      </c>
      <c r="K297" s="3">
        <f t="shared" si="13"/>
        <v>70031.045600500191</v>
      </c>
      <c r="L297" s="1" t="str">
        <f t="shared" si="14"/>
        <v>under-predicted</v>
      </c>
    </row>
    <row r="298" spans="1:12">
      <c r="A298" s="3" t="s">
        <v>97</v>
      </c>
      <c r="B298" s="3">
        <v>780580.95</v>
      </c>
      <c r="C298" s="3">
        <v>31997.25</v>
      </c>
      <c r="D298" s="3">
        <v>8183</v>
      </c>
      <c r="E298" s="3">
        <v>0.19800000000000001</v>
      </c>
      <c r="F298" s="3">
        <v>18</v>
      </c>
      <c r="G298" s="3">
        <v>0</v>
      </c>
      <c r="H298" s="3">
        <v>0</v>
      </c>
      <c r="I298" s="3">
        <v>1</v>
      </c>
      <c r="J298" s="3">
        <f t="shared" si="12"/>
        <v>708940.12923724996</v>
      </c>
      <c r="K298" s="3">
        <f t="shared" si="13"/>
        <v>71640.820762749994</v>
      </c>
      <c r="L298" s="1" t="str">
        <f t="shared" si="14"/>
        <v>under-predicted</v>
      </c>
    </row>
    <row r="299" spans="1:12">
      <c r="A299" s="3" t="s">
        <v>46</v>
      </c>
      <c r="B299" s="3">
        <v>735509.4</v>
      </c>
      <c r="C299" s="3">
        <v>78839.39</v>
      </c>
      <c r="D299" s="3">
        <v>5150</v>
      </c>
      <c r="E299" s="3">
        <v>0.17100000000000001</v>
      </c>
      <c r="F299" s="3">
        <v>13</v>
      </c>
      <c r="G299" s="3">
        <v>0</v>
      </c>
      <c r="H299" s="3">
        <v>0</v>
      </c>
      <c r="I299" s="3">
        <v>1</v>
      </c>
      <c r="J299" s="3">
        <f t="shared" si="12"/>
        <v>662792.24958715006</v>
      </c>
      <c r="K299" s="3">
        <f t="shared" si="13"/>
        <v>72717.150412849966</v>
      </c>
      <c r="L299" s="1" t="str">
        <f t="shared" si="14"/>
        <v>under-predicted</v>
      </c>
    </row>
    <row r="300" spans="1:12">
      <c r="A300" s="3" t="s">
        <v>42</v>
      </c>
      <c r="B300" s="3">
        <v>727241.86</v>
      </c>
      <c r="C300" s="3">
        <v>72731.14</v>
      </c>
      <c r="D300" s="3">
        <v>4644</v>
      </c>
      <c r="E300" s="3">
        <v>8.4000000000000005E-2</v>
      </c>
      <c r="F300" s="3">
        <v>15</v>
      </c>
      <c r="G300" s="3">
        <v>0</v>
      </c>
      <c r="H300" s="3">
        <v>0</v>
      </c>
      <c r="I300" s="3">
        <v>1</v>
      </c>
      <c r="J300" s="3">
        <f t="shared" si="12"/>
        <v>653321.35042089992</v>
      </c>
      <c r="K300" s="3">
        <f t="shared" si="13"/>
        <v>73920.509579100064</v>
      </c>
      <c r="L300" s="1" t="str">
        <f t="shared" si="14"/>
        <v>under-predicted</v>
      </c>
    </row>
    <row r="301" spans="1:12">
      <c r="A301" s="3" t="s">
        <v>80</v>
      </c>
      <c r="B301" s="3">
        <v>658072.14</v>
      </c>
      <c r="C301" s="3">
        <v>47241.919999999998</v>
      </c>
      <c r="D301" s="3">
        <v>4264</v>
      </c>
      <c r="E301" s="3">
        <v>6.9000000000000006E-2</v>
      </c>
      <c r="F301" s="3">
        <v>13</v>
      </c>
      <c r="G301" s="3">
        <v>0</v>
      </c>
      <c r="H301" s="3">
        <v>0</v>
      </c>
      <c r="I301" s="3">
        <v>0</v>
      </c>
      <c r="J301" s="3">
        <f t="shared" si="12"/>
        <v>583977.86891920003</v>
      </c>
      <c r="K301" s="3">
        <f t="shared" si="13"/>
        <v>74094.271080799983</v>
      </c>
      <c r="L301" s="1" t="str">
        <f t="shared" si="14"/>
        <v>under-predicted</v>
      </c>
    </row>
    <row r="302" spans="1:12">
      <c r="A302" s="3" t="s">
        <v>98</v>
      </c>
      <c r="B302" s="3">
        <v>727957.48</v>
      </c>
      <c r="C302" s="3">
        <v>54948.02</v>
      </c>
      <c r="D302" s="3">
        <v>6534</v>
      </c>
      <c r="E302" s="3">
        <v>0.183</v>
      </c>
      <c r="F302" s="3">
        <v>14</v>
      </c>
      <c r="G302" s="3">
        <v>0</v>
      </c>
      <c r="H302" s="3">
        <v>0</v>
      </c>
      <c r="I302" s="3">
        <v>0</v>
      </c>
      <c r="J302" s="3">
        <f t="shared" si="12"/>
        <v>651744.10555969994</v>
      </c>
      <c r="K302" s="3">
        <f t="shared" si="13"/>
        <v>76213.374440300046</v>
      </c>
      <c r="L302" s="1" t="str">
        <f t="shared" si="14"/>
        <v>under-predicted</v>
      </c>
    </row>
    <row r="303" spans="1:12">
      <c r="A303" s="3" t="s">
        <v>85</v>
      </c>
      <c r="B303" s="3">
        <v>799046.94</v>
      </c>
      <c r="C303" s="3">
        <v>63582.11</v>
      </c>
      <c r="D303" s="3">
        <v>6856</v>
      </c>
      <c r="E303" s="3">
        <v>7.3999999999999996E-2</v>
      </c>
      <c r="F303" s="3">
        <v>17</v>
      </c>
      <c r="G303" s="3">
        <v>0</v>
      </c>
      <c r="H303" s="3">
        <v>1</v>
      </c>
      <c r="I303" s="3">
        <v>0</v>
      </c>
      <c r="J303" s="3">
        <f t="shared" si="12"/>
        <v>722696.61917434994</v>
      </c>
      <c r="K303" s="3">
        <f t="shared" si="13"/>
        <v>76350.320825650007</v>
      </c>
      <c r="L303" s="1" t="str">
        <f t="shared" si="14"/>
        <v>under-predicted</v>
      </c>
    </row>
    <row r="304" spans="1:12">
      <c r="A304" s="3" t="s">
        <v>62</v>
      </c>
      <c r="B304" s="3">
        <v>778298.88</v>
      </c>
      <c r="C304" s="3">
        <v>48438.85</v>
      </c>
      <c r="D304" s="3">
        <v>6992</v>
      </c>
      <c r="E304" s="3">
        <v>3.4000000000000002E-2</v>
      </c>
      <c r="F304" s="3">
        <v>20</v>
      </c>
      <c r="G304" s="3">
        <v>1</v>
      </c>
      <c r="H304" s="3">
        <v>0</v>
      </c>
      <c r="I304" s="3">
        <v>0</v>
      </c>
      <c r="J304" s="3">
        <f t="shared" si="12"/>
        <v>701924.34164724988</v>
      </c>
      <c r="K304" s="3">
        <f t="shared" si="13"/>
        <v>76374.538352750125</v>
      </c>
      <c r="L304" s="1" t="str">
        <f t="shared" si="14"/>
        <v>under-predicted</v>
      </c>
    </row>
    <row r="305" spans="1:12">
      <c r="A305" s="3" t="s">
        <v>56</v>
      </c>
      <c r="B305" s="3">
        <v>758827.64</v>
      </c>
      <c r="C305" s="3">
        <v>69779</v>
      </c>
      <c r="D305" s="3">
        <v>6544</v>
      </c>
      <c r="E305" s="3">
        <v>0.152</v>
      </c>
      <c r="F305" s="3">
        <v>18</v>
      </c>
      <c r="G305" s="3">
        <v>0</v>
      </c>
      <c r="H305" s="3">
        <v>0</v>
      </c>
      <c r="I305" s="3">
        <v>0</v>
      </c>
      <c r="J305" s="3">
        <f t="shared" si="12"/>
        <v>680959.79662700009</v>
      </c>
      <c r="K305" s="3">
        <f t="shared" si="13"/>
        <v>77867.843372999923</v>
      </c>
      <c r="L305" s="1" t="str">
        <f t="shared" si="14"/>
        <v>under-predicted</v>
      </c>
    </row>
    <row r="306" spans="1:12">
      <c r="A306" s="3" t="s">
        <v>72</v>
      </c>
      <c r="B306" s="3">
        <v>787715.51</v>
      </c>
      <c r="C306" s="3">
        <v>78111.97</v>
      </c>
      <c r="D306" s="3">
        <v>6389</v>
      </c>
      <c r="E306" s="3">
        <v>0.15</v>
      </c>
      <c r="F306" s="3">
        <v>13</v>
      </c>
      <c r="G306" s="3">
        <v>0</v>
      </c>
      <c r="H306" s="3">
        <v>1</v>
      </c>
      <c r="I306" s="3">
        <v>0</v>
      </c>
      <c r="J306" s="3">
        <f t="shared" si="12"/>
        <v>709215.95697644993</v>
      </c>
      <c r="K306" s="3">
        <f t="shared" si="13"/>
        <v>78499.553023550077</v>
      </c>
      <c r="L306" s="1" t="str">
        <f t="shared" si="14"/>
        <v>under-predicted</v>
      </c>
    </row>
    <row r="307" spans="1:12">
      <c r="A307" s="3" t="s">
        <v>94</v>
      </c>
      <c r="B307" s="3">
        <v>813316.71</v>
      </c>
      <c r="C307" s="3">
        <v>56737.3</v>
      </c>
      <c r="D307" s="3">
        <v>8300</v>
      </c>
      <c r="E307" s="3">
        <v>3.2000000000000001E-2</v>
      </c>
      <c r="F307" s="3">
        <v>21</v>
      </c>
      <c r="G307" s="3">
        <v>0</v>
      </c>
      <c r="H307" s="3">
        <v>0</v>
      </c>
      <c r="I307" s="3">
        <v>0</v>
      </c>
      <c r="J307" s="3">
        <f t="shared" si="12"/>
        <v>734779.72801650001</v>
      </c>
      <c r="K307" s="3">
        <f t="shared" si="13"/>
        <v>78536.981983499951</v>
      </c>
      <c r="L307" s="1" t="str">
        <f t="shared" si="14"/>
        <v>under-predicted</v>
      </c>
    </row>
    <row r="308" spans="1:12">
      <c r="A308" s="3" t="s">
        <v>37</v>
      </c>
      <c r="B308" s="3">
        <v>749559.71</v>
      </c>
      <c r="C308" s="3">
        <v>74907.98</v>
      </c>
      <c r="D308" s="3">
        <v>5306</v>
      </c>
      <c r="E308" s="3">
        <v>6.2E-2</v>
      </c>
      <c r="F308" s="3">
        <v>16</v>
      </c>
      <c r="G308" s="3">
        <v>1</v>
      </c>
      <c r="H308" s="3">
        <v>0</v>
      </c>
      <c r="I308" s="3">
        <v>0</v>
      </c>
      <c r="J308" s="3">
        <f t="shared" si="12"/>
        <v>670213.89762029995</v>
      </c>
      <c r="K308" s="3">
        <f t="shared" si="13"/>
        <v>79345.812379700015</v>
      </c>
      <c r="L308" s="1" t="str">
        <f t="shared" si="14"/>
        <v>under-predicted</v>
      </c>
    </row>
    <row r="309" spans="1:12">
      <c r="A309" s="3" t="s">
        <v>86</v>
      </c>
      <c r="B309" s="3">
        <v>840108.12</v>
      </c>
      <c r="C309" s="3">
        <v>65272.58</v>
      </c>
      <c r="D309" s="3">
        <v>8165</v>
      </c>
      <c r="E309" s="3">
        <v>5.0999999999999997E-2</v>
      </c>
      <c r="F309" s="3">
        <v>19</v>
      </c>
      <c r="G309" s="3">
        <v>0</v>
      </c>
      <c r="H309" s="3">
        <v>0</v>
      </c>
      <c r="I309" s="3">
        <v>1</v>
      </c>
      <c r="J309" s="3">
        <f t="shared" si="12"/>
        <v>760058.15908929985</v>
      </c>
      <c r="K309" s="3">
        <f t="shared" si="13"/>
        <v>80049.960910700145</v>
      </c>
      <c r="L309" s="1" t="str">
        <f t="shared" si="14"/>
        <v>under-predicted</v>
      </c>
    </row>
    <row r="310" spans="1:12">
      <c r="A310" s="3" t="s">
        <v>17</v>
      </c>
      <c r="B310" s="3">
        <v>850164.26</v>
      </c>
      <c r="C310" s="3">
        <v>68148.52</v>
      </c>
      <c r="D310" s="3">
        <v>8567</v>
      </c>
      <c r="E310" s="3">
        <v>0.127</v>
      </c>
      <c r="F310" s="3">
        <v>23</v>
      </c>
      <c r="G310" s="3">
        <v>1</v>
      </c>
      <c r="H310" s="3">
        <v>0</v>
      </c>
      <c r="I310" s="3">
        <v>0</v>
      </c>
      <c r="J310" s="3">
        <f t="shared" si="12"/>
        <v>769488.24272620003</v>
      </c>
      <c r="K310" s="3">
        <f t="shared" si="13"/>
        <v>80676.017273799982</v>
      </c>
      <c r="L310" s="1" t="str">
        <f t="shared" si="14"/>
        <v>under-predicted</v>
      </c>
    </row>
    <row r="311" spans="1:12">
      <c r="A311" s="3" t="s">
        <v>80</v>
      </c>
      <c r="B311" s="3">
        <v>723305.11</v>
      </c>
      <c r="C311" s="3">
        <v>61650.79</v>
      </c>
      <c r="D311" s="3">
        <v>5321</v>
      </c>
      <c r="E311" s="3">
        <v>0.126</v>
      </c>
      <c r="F311" s="3">
        <v>17</v>
      </c>
      <c r="G311" s="3">
        <v>0</v>
      </c>
      <c r="H311" s="3">
        <v>0</v>
      </c>
      <c r="I311" s="3">
        <v>0</v>
      </c>
      <c r="J311" s="3">
        <f t="shared" si="12"/>
        <v>635970.51069014997</v>
      </c>
      <c r="K311" s="3">
        <f t="shared" si="13"/>
        <v>87334.599309850018</v>
      </c>
      <c r="L311" s="1" t="str">
        <f t="shared" si="14"/>
        <v>under-predicted</v>
      </c>
    </row>
    <row r="312" spans="1:12">
      <c r="A312" s="3" t="s">
        <v>45</v>
      </c>
      <c r="B312" s="3">
        <v>838250.32</v>
      </c>
      <c r="C312" s="3">
        <v>86421.88</v>
      </c>
      <c r="D312" s="3">
        <v>7970</v>
      </c>
      <c r="E312" s="3">
        <v>7.2999999999999995E-2</v>
      </c>
      <c r="F312" s="3">
        <v>17</v>
      </c>
      <c r="G312" s="3">
        <v>0</v>
      </c>
      <c r="H312" s="3">
        <v>0</v>
      </c>
      <c r="I312" s="3">
        <v>0</v>
      </c>
      <c r="J312" s="3">
        <f t="shared" si="12"/>
        <v>745060.85601579992</v>
      </c>
      <c r="K312" s="3">
        <f t="shared" si="13"/>
        <v>93189.463984200032</v>
      </c>
      <c r="L312" s="1" t="str">
        <f t="shared" si="14"/>
        <v>under-predicted</v>
      </c>
    </row>
    <row r="313" spans="1:12">
      <c r="A313" s="3" t="s">
        <v>53</v>
      </c>
      <c r="B313" s="3">
        <v>914544.17</v>
      </c>
      <c r="C313" s="3">
        <v>61541.21</v>
      </c>
      <c r="D313" s="3">
        <v>10396</v>
      </c>
      <c r="E313" s="3">
        <v>0.123</v>
      </c>
      <c r="F313" s="3">
        <v>25</v>
      </c>
      <c r="G313" s="3">
        <v>1</v>
      </c>
      <c r="H313" s="3">
        <v>0</v>
      </c>
      <c r="I313" s="3">
        <v>0</v>
      </c>
      <c r="J313" s="3">
        <f t="shared" si="12"/>
        <v>820614.55917984992</v>
      </c>
      <c r="K313" s="3">
        <f t="shared" si="13"/>
        <v>93929.610820150119</v>
      </c>
      <c r="L313" s="1" t="str">
        <f t="shared" si="14"/>
        <v>under-predicted</v>
      </c>
    </row>
    <row r="314" spans="1:12">
      <c r="A314" s="3" t="s">
        <v>71</v>
      </c>
      <c r="B314" s="3">
        <v>735786.64</v>
      </c>
      <c r="C314" s="3">
        <v>61391.8</v>
      </c>
      <c r="D314" s="3">
        <v>5575</v>
      </c>
      <c r="E314" s="3">
        <v>0.189</v>
      </c>
      <c r="F314" s="3">
        <v>18</v>
      </c>
      <c r="G314" s="3">
        <v>0</v>
      </c>
      <c r="H314" s="3">
        <v>0</v>
      </c>
      <c r="I314" s="3">
        <v>0</v>
      </c>
      <c r="J314" s="3">
        <f t="shared" si="12"/>
        <v>640358.85092499992</v>
      </c>
      <c r="K314" s="3">
        <f t="shared" si="13"/>
        <v>95427.789075000095</v>
      </c>
      <c r="L314" s="1" t="str">
        <f t="shared" si="14"/>
        <v>under-predicted</v>
      </c>
    </row>
    <row r="315" spans="1:12">
      <c r="A315" s="3" t="s">
        <v>68</v>
      </c>
      <c r="B315" s="3">
        <v>765906.95</v>
      </c>
      <c r="C315" s="3">
        <v>48031.74</v>
      </c>
      <c r="D315" s="3">
        <v>6516</v>
      </c>
      <c r="E315" s="3">
        <v>6.7000000000000004E-2</v>
      </c>
      <c r="F315" s="3">
        <v>14</v>
      </c>
      <c r="G315" s="3">
        <v>1</v>
      </c>
      <c r="H315" s="3">
        <v>0</v>
      </c>
      <c r="I315" s="3">
        <v>0</v>
      </c>
      <c r="J315" s="3">
        <f t="shared" si="12"/>
        <v>670140.54284389992</v>
      </c>
      <c r="K315" s="3">
        <f t="shared" si="13"/>
        <v>95766.407156100031</v>
      </c>
      <c r="L315" s="1" t="str">
        <f t="shared" si="14"/>
        <v>under-predicted</v>
      </c>
    </row>
    <row r="316" spans="1:12">
      <c r="A316" s="3" t="s">
        <v>51</v>
      </c>
      <c r="B316" s="3">
        <v>820519.04</v>
      </c>
      <c r="C316" s="3">
        <v>57360.01</v>
      </c>
      <c r="D316" s="3">
        <v>8434</v>
      </c>
      <c r="E316" s="3">
        <v>0.151</v>
      </c>
      <c r="F316" s="3">
        <v>19</v>
      </c>
      <c r="G316" s="3">
        <v>0</v>
      </c>
      <c r="H316" s="3">
        <v>0</v>
      </c>
      <c r="I316" s="3">
        <v>0</v>
      </c>
      <c r="J316" s="3">
        <f t="shared" si="12"/>
        <v>724675.24445384997</v>
      </c>
      <c r="K316" s="3">
        <f t="shared" si="13"/>
        <v>95843.795546150068</v>
      </c>
      <c r="L316" s="1" t="str">
        <f t="shared" si="14"/>
        <v>under-predicted</v>
      </c>
    </row>
    <row r="317" spans="1:12">
      <c r="A317" s="3" t="s">
        <v>40</v>
      </c>
      <c r="B317" s="3">
        <v>788087.68</v>
      </c>
      <c r="C317" s="3">
        <v>70144.78</v>
      </c>
      <c r="D317" s="3">
        <v>6806</v>
      </c>
      <c r="E317" s="3">
        <v>0.17799999999999999</v>
      </c>
      <c r="F317" s="3">
        <v>20</v>
      </c>
      <c r="G317" s="3">
        <v>0</v>
      </c>
      <c r="H317" s="3">
        <v>0</v>
      </c>
      <c r="I317" s="3">
        <v>0</v>
      </c>
      <c r="J317" s="3">
        <f t="shared" si="12"/>
        <v>691778.44555629988</v>
      </c>
      <c r="K317" s="3">
        <f t="shared" si="13"/>
        <v>96309.234443700174</v>
      </c>
      <c r="L317" s="1" t="str">
        <f t="shared" si="14"/>
        <v>under-predicted</v>
      </c>
    </row>
    <row r="318" spans="1:12">
      <c r="A318" s="3" t="s">
        <v>48</v>
      </c>
      <c r="B318" s="3">
        <v>795153.84</v>
      </c>
      <c r="C318" s="3">
        <v>64294.23</v>
      </c>
      <c r="D318" s="3">
        <v>6992</v>
      </c>
      <c r="E318" s="3">
        <v>0.13300000000000001</v>
      </c>
      <c r="F318" s="3">
        <v>14</v>
      </c>
      <c r="G318" s="3">
        <v>1</v>
      </c>
      <c r="H318" s="3">
        <v>0</v>
      </c>
      <c r="I318" s="3">
        <v>0</v>
      </c>
      <c r="J318" s="3">
        <f t="shared" si="12"/>
        <v>696706.04864854983</v>
      </c>
      <c r="K318" s="3">
        <f t="shared" si="13"/>
        <v>98447.791351450142</v>
      </c>
      <c r="L318" s="1" t="str">
        <f t="shared" si="14"/>
        <v>under-predicted</v>
      </c>
    </row>
    <row r="319" spans="1:12">
      <c r="A319" s="3" t="s">
        <v>47</v>
      </c>
      <c r="B319" s="3">
        <v>625514.04</v>
      </c>
      <c r="C319" s="3">
        <v>32266.639999999999</v>
      </c>
      <c r="D319" s="3">
        <v>2414</v>
      </c>
      <c r="E319" s="3">
        <v>0.08</v>
      </c>
      <c r="F319" s="3">
        <v>7</v>
      </c>
      <c r="G319" s="3">
        <v>0</v>
      </c>
      <c r="H319" s="3">
        <v>0</v>
      </c>
      <c r="I319" s="3">
        <v>1</v>
      </c>
      <c r="J319" s="3">
        <f t="shared" si="12"/>
        <v>523933.48379639996</v>
      </c>
      <c r="K319" s="3">
        <f t="shared" si="13"/>
        <v>101580.55620360008</v>
      </c>
      <c r="L319" s="1" t="str">
        <f t="shared" si="14"/>
        <v>under-predicted</v>
      </c>
    </row>
    <row r="320" spans="1:12">
      <c r="A320" s="3" t="s">
        <v>49</v>
      </c>
      <c r="B320" s="3">
        <v>713611.16</v>
      </c>
      <c r="C320" s="3">
        <v>52758.01</v>
      </c>
      <c r="D320" s="3">
        <v>4063</v>
      </c>
      <c r="E320" s="3">
        <v>5.7000000000000002E-2</v>
      </c>
      <c r="F320" s="3">
        <v>12</v>
      </c>
      <c r="G320" s="3">
        <v>0</v>
      </c>
      <c r="H320" s="3">
        <v>0</v>
      </c>
      <c r="I320" s="3">
        <v>1</v>
      </c>
      <c r="J320" s="3">
        <f t="shared" si="12"/>
        <v>608976.34655785002</v>
      </c>
      <c r="K320" s="3">
        <f t="shared" si="13"/>
        <v>104634.81344215001</v>
      </c>
      <c r="L320" s="1" t="str">
        <f t="shared" si="14"/>
        <v>under-predicted</v>
      </c>
    </row>
    <row r="321" spans="1:12">
      <c r="A321" s="3" t="s">
        <v>96</v>
      </c>
      <c r="B321" s="3">
        <v>763162.45</v>
      </c>
      <c r="C321" s="3">
        <v>55477.61</v>
      </c>
      <c r="D321" s="3">
        <v>5903</v>
      </c>
      <c r="E321" s="3">
        <v>0.10199999999999999</v>
      </c>
      <c r="F321" s="3">
        <v>14</v>
      </c>
      <c r="G321" s="3">
        <v>1</v>
      </c>
      <c r="H321" s="3">
        <v>0</v>
      </c>
      <c r="I321" s="3">
        <v>0</v>
      </c>
      <c r="J321" s="3">
        <f t="shared" si="12"/>
        <v>657721.16218384996</v>
      </c>
      <c r="K321" s="3">
        <f t="shared" si="13"/>
        <v>105441.28781615</v>
      </c>
      <c r="L321" s="1" t="str">
        <f t="shared" si="14"/>
        <v>under-predicted</v>
      </c>
    </row>
  </sheetData>
  <autoFilter ref="A1:L321" xr:uid="{35418541-3087-49AD-972B-D12E4FCBD058}">
    <sortState xmlns:xlrd2="http://schemas.microsoft.com/office/spreadsheetml/2017/richdata2" ref="A2:L321">
      <sortCondition ref="K1:K321"/>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1D63-E0AB-4F91-B413-F73A06E69FCB}">
  <dimension ref="A1:N15"/>
  <sheetViews>
    <sheetView workbookViewId="0">
      <selection activeCell="H22" sqref="H22"/>
    </sheetView>
  </sheetViews>
  <sheetFormatPr defaultRowHeight="13.8"/>
  <cols>
    <col min="1" max="1" width="9.19921875" bestFit="1" customWidth="1"/>
    <col min="2" max="2" width="13.796875" bestFit="1" customWidth="1"/>
    <col min="3" max="3" width="16.19921875" customWidth="1"/>
    <col min="4" max="4" width="6.8984375" customWidth="1"/>
    <col min="5" max="5" width="16.3984375" customWidth="1"/>
    <col min="6" max="6" width="10.59765625" customWidth="1"/>
    <col min="7" max="7" width="17.09765625" customWidth="1"/>
    <col min="8" max="8" width="12.59765625" customWidth="1"/>
    <col min="9" max="9" width="10.09765625" customWidth="1"/>
    <col min="10" max="10" width="15" bestFit="1" customWidth="1"/>
    <col min="11" max="11" width="11.8984375" bestFit="1" customWidth="1"/>
    <col min="12" max="12" width="13.59765625" bestFit="1" customWidth="1"/>
  </cols>
  <sheetData>
    <row r="1" spans="1:14">
      <c r="A1" s="38" t="s">
        <v>178</v>
      </c>
      <c r="B1" s="38"/>
      <c r="C1" s="38"/>
      <c r="D1" s="38"/>
      <c r="E1" s="38"/>
      <c r="F1" s="38"/>
      <c r="G1" s="38"/>
      <c r="H1" s="38"/>
      <c r="I1" s="38"/>
      <c r="J1" s="38"/>
      <c r="K1" s="38"/>
      <c r="L1" s="38"/>
    </row>
    <row r="2" spans="1:14">
      <c r="A2" s="37" t="s">
        <v>0</v>
      </c>
      <c r="B2" s="37" t="s">
        <v>12</v>
      </c>
      <c r="C2" s="37" t="s">
        <v>4</v>
      </c>
      <c r="D2" s="37" t="s">
        <v>5</v>
      </c>
      <c r="E2" s="37" t="s">
        <v>6</v>
      </c>
      <c r="F2" s="37" t="s">
        <v>7</v>
      </c>
      <c r="G2" s="6" t="s">
        <v>107</v>
      </c>
      <c r="H2" s="6" t="s">
        <v>105</v>
      </c>
      <c r="I2" s="6" t="s">
        <v>106</v>
      </c>
      <c r="J2" s="6" t="s">
        <v>177</v>
      </c>
      <c r="K2" s="6" t="s">
        <v>117</v>
      </c>
      <c r="L2" s="6" t="s">
        <v>146</v>
      </c>
      <c r="N2" s="7"/>
    </row>
    <row r="3" spans="1:14">
      <c r="A3" s="3" t="s">
        <v>96</v>
      </c>
      <c r="B3" s="3">
        <v>763162.45</v>
      </c>
      <c r="C3" s="3">
        <v>55477.61</v>
      </c>
      <c r="D3" s="3">
        <v>5903</v>
      </c>
      <c r="E3" s="3">
        <v>0.10199999999999999</v>
      </c>
      <c r="F3" s="3">
        <v>14</v>
      </c>
      <c r="G3" s="3">
        <v>1</v>
      </c>
      <c r="H3" s="3">
        <v>0</v>
      </c>
      <c r="I3" s="3">
        <v>0</v>
      </c>
      <c r="J3" s="3">
        <f>380861.975+(1.114985*C3)+(29.111154*D3)-(82179.332*E3)+(2460.175*F3)+(17099.184*G3)+(35613.769*H3)+(26173.485*I3)</f>
        <v>657721.16218384996</v>
      </c>
      <c r="K3" s="3">
        <f>B3-J3</f>
        <v>105441.28781615</v>
      </c>
      <c r="L3" s="1" t="str">
        <f>IF(K3&lt;0,"over-predicted","under-predicted")</f>
        <v>under-predicted</v>
      </c>
      <c r="N3" s="7"/>
    </row>
    <row r="4" spans="1:14">
      <c r="A4" s="3" t="s">
        <v>49</v>
      </c>
      <c r="B4" s="3">
        <v>713611.16</v>
      </c>
      <c r="C4" s="3">
        <v>52758.01</v>
      </c>
      <c r="D4" s="3">
        <v>4063</v>
      </c>
      <c r="E4" s="3">
        <v>5.7000000000000002E-2</v>
      </c>
      <c r="F4" s="3">
        <v>12</v>
      </c>
      <c r="G4" s="3">
        <v>0</v>
      </c>
      <c r="H4" s="3">
        <v>0</v>
      </c>
      <c r="I4" s="3">
        <v>1</v>
      </c>
      <c r="J4" s="3">
        <f>380861.975+(1.114985*C4)+(29.111154*D4)-(82179.332*E4)+(2460.175*F4)+(17099.184*G4)+(35613.769*H4)+(26173.485*I4)</f>
        <v>608976.34655785002</v>
      </c>
      <c r="K4" s="3">
        <f>B4-J4</f>
        <v>104634.81344215001</v>
      </c>
      <c r="L4" s="1" t="str">
        <f>IF(K4&lt;0,"over-predicted","under-predicted")</f>
        <v>under-predicted</v>
      </c>
      <c r="N4" s="7"/>
    </row>
    <row r="5" spans="1:14">
      <c r="A5" s="3" t="s">
        <v>47</v>
      </c>
      <c r="B5" s="3">
        <v>625514.04</v>
      </c>
      <c r="C5" s="3">
        <v>32266.639999999999</v>
      </c>
      <c r="D5" s="3">
        <v>2414</v>
      </c>
      <c r="E5" s="3">
        <v>0.08</v>
      </c>
      <c r="F5" s="3">
        <v>7</v>
      </c>
      <c r="G5" s="3">
        <v>0</v>
      </c>
      <c r="H5" s="3">
        <v>0</v>
      </c>
      <c r="I5" s="3">
        <v>1</v>
      </c>
      <c r="J5" s="3">
        <f>380861.975+(1.114985*C5)+(29.111154*D5)-(82179.332*E5)+(2460.175*F5)+(17099.184*G5)+(35613.769*H5)+(26173.485*I5)</f>
        <v>523933.48379639996</v>
      </c>
      <c r="K5" s="3">
        <f>B5-J5</f>
        <v>101580.55620360008</v>
      </c>
      <c r="L5" s="1" t="str">
        <f>IF(K5&lt;0,"over-predicted","under-predicted")</f>
        <v>under-predicted</v>
      </c>
      <c r="N5" s="7"/>
    </row>
    <row r="6" spans="1:14">
      <c r="A6" s="3" t="s">
        <v>48</v>
      </c>
      <c r="B6" s="3">
        <v>795153.84</v>
      </c>
      <c r="C6" s="3">
        <v>64294.23</v>
      </c>
      <c r="D6" s="3">
        <v>6992</v>
      </c>
      <c r="E6" s="3">
        <v>0.13300000000000001</v>
      </c>
      <c r="F6" s="3">
        <v>14</v>
      </c>
      <c r="G6" s="3">
        <v>1</v>
      </c>
      <c r="H6" s="3">
        <v>0</v>
      </c>
      <c r="I6" s="3">
        <v>0</v>
      </c>
      <c r="J6" s="3">
        <f>380861.975+(1.114985*C6)+(29.111154*D6)-(82179.332*E6)+(2460.175*F6)+(17099.184*G6)+(35613.769*H6)+(26173.485*I6)</f>
        <v>696706.04864854983</v>
      </c>
      <c r="K6" s="3">
        <f>B6-J6</f>
        <v>98447.791351450142</v>
      </c>
      <c r="L6" s="1" t="str">
        <f>IF(K6&lt;0,"over-predicted","under-predicted")</f>
        <v>under-predicted</v>
      </c>
      <c r="N6" s="7"/>
    </row>
    <row r="7" spans="1:14">
      <c r="A7" s="3" t="s">
        <v>40</v>
      </c>
      <c r="B7" s="3">
        <v>788087.68</v>
      </c>
      <c r="C7" s="3">
        <v>70144.78</v>
      </c>
      <c r="D7" s="3">
        <v>6806</v>
      </c>
      <c r="E7" s="3">
        <v>0.17799999999999999</v>
      </c>
      <c r="F7" s="3">
        <v>20</v>
      </c>
      <c r="G7" s="3">
        <v>0</v>
      </c>
      <c r="H7" s="3">
        <v>0</v>
      </c>
      <c r="I7" s="3">
        <v>0</v>
      </c>
      <c r="J7" s="3">
        <f>380861.975+(1.114985*C7)+(29.111154*D7)-(82179.332*E7)+(2460.175*F7)+(17099.184*G7)+(35613.769*H7)+(26173.485*I7)</f>
        <v>691778.44555629988</v>
      </c>
      <c r="K7" s="3">
        <f>B7-J7</f>
        <v>96309.234443700174</v>
      </c>
      <c r="L7" s="1" t="str">
        <f>IF(K7&lt;0,"over-predicted","under-predicted")</f>
        <v>under-predicted</v>
      </c>
      <c r="N7" s="7"/>
    </row>
    <row r="9" spans="1:14">
      <c r="A9" s="38" t="s">
        <v>179</v>
      </c>
      <c r="B9" s="38"/>
      <c r="C9" s="38"/>
      <c r="D9" s="38"/>
      <c r="E9" s="38"/>
      <c r="F9" s="38"/>
      <c r="G9" s="38"/>
      <c r="H9" s="38"/>
      <c r="I9" s="38"/>
      <c r="J9" s="38"/>
      <c r="K9" s="38"/>
      <c r="L9" s="38"/>
    </row>
    <row r="10" spans="1:14">
      <c r="A10" s="37" t="s">
        <v>0</v>
      </c>
      <c r="B10" s="37" t="s">
        <v>12</v>
      </c>
      <c r="C10" s="37" t="s">
        <v>4</v>
      </c>
      <c r="D10" s="37" t="s">
        <v>5</v>
      </c>
      <c r="E10" s="37" t="s">
        <v>6</v>
      </c>
      <c r="F10" s="37" t="s">
        <v>7</v>
      </c>
      <c r="G10" s="6" t="s">
        <v>107</v>
      </c>
      <c r="H10" s="6" t="s">
        <v>105</v>
      </c>
      <c r="I10" s="6" t="s">
        <v>106</v>
      </c>
      <c r="J10" s="6" t="s">
        <v>177</v>
      </c>
      <c r="K10" s="6" t="s">
        <v>117</v>
      </c>
      <c r="L10" s="6" t="s">
        <v>146</v>
      </c>
      <c r="N10" s="7"/>
    </row>
    <row r="11" spans="1:14">
      <c r="A11" s="3" t="s">
        <v>33</v>
      </c>
      <c r="B11" s="3">
        <v>595467.6</v>
      </c>
      <c r="C11" s="3">
        <v>138855.51</v>
      </c>
      <c r="D11" s="3">
        <v>5145</v>
      </c>
      <c r="E11" s="3">
        <v>0.06</v>
      </c>
      <c r="F11" s="3">
        <v>17</v>
      </c>
      <c r="G11" s="3">
        <v>0</v>
      </c>
      <c r="H11" s="3">
        <v>0</v>
      </c>
      <c r="I11" s="3">
        <v>0</v>
      </c>
      <c r="J11" s="3">
        <f>380861.975+(1.114985*C11)+(29.111154*D11)-(82179.332*E11)+(2460.175*F11)+(17099.184*G11)+(35613.769*H11)+(26173.485*I11)</f>
        <v>722352.88822735008</v>
      </c>
      <c r="K11" s="3">
        <f>B11-J11</f>
        <v>-126885.2882273501</v>
      </c>
      <c r="L11" s="1" t="str">
        <f>IF(K11&lt;0,"over-predicted","under-predicted")</f>
        <v>over-predicted</v>
      </c>
      <c r="N11" s="7"/>
    </row>
    <row r="12" spans="1:14">
      <c r="A12" s="3" t="s">
        <v>44</v>
      </c>
      <c r="B12" s="3">
        <v>627171.9</v>
      </c>
      <c r="C12" s="3">
        <v>141540.29</v>
      </c>
      <c r="D12" s="3">
        <v>5400</v>
      </c>
      <c r="E12" s="3">
        <v>1.2999999999999999E-2</v>
      </c>
      <c r="F12" s="3">
        <v>12</v>
      </c>
      <c r="G12" s="3">
        <v>0</v>
      </c>
      <c r="H12" s="3">
        <v>0</v>
      </c>
      <c r="I12" s="3">
        <v>1</v>
      </c>
      <c r="J12" s="3">
        <f>380861.975+(1.114985*C12)+(29.111154*D12)-(82179.332*E12)+(2460.175*F12)+(17099.184*G12)+(35613.769*H12)+(26173.485*I12)</f>
        <v>750504.76052965003</v>
      </c>
      <c r="K12" s="3">
        <f>B12-J12</f>
        <v>-123332.86052965</v>
      </c>
      <c r="L12" s="1" t="str">
        <f>IF(K12&lt;0,"over-predicted","under-predicted")</f>
        <v>over-predicted</v>
      </c>
      <c r="N12" s="7"/>
    </row>
    <row r="13" spans="1:14">
      <c r="A13" s="3" t="s">
        <v>38</v>
      </c>
      <c r="B13" s="3">
        <v>685379.08</v>
      </c>
      <c r="C13" s="3">
        <v>79346.100000000006</v>
      </c>
      <c r="D13" s="3">
        <v>9628</v>
      </c>
      <c r="E13" s="3">
        <v>0.10199999999999999</v>
      </c>
      <c r="F13" s="3">
        <v>20</v>
      </c>
      <c r="G13" s="3">
        <v>1</v>
      </c>
      <c r="H13" s="3">
        <v>0</v>
      </c>
      <c r="I13" s="3">
        <v>0</v>
      </c>
      <c r="J13" s="3">
        <f>380861.975+(1.114985*C13)+(29.111154*D13)-(82179.332*E13)+(2460.175*F13)+(17099.184*G13)+(35613.769*H13)+(26173.485*I13)</f>
        <v>807534.2691565</v>
      </c>
      <c r="K13" s="3">
        <f>B13-J13</f>
        <v>-122155.18915650004</v>
      </c>
      <c r="L13" s="1" t="str">
        <f>IF(K13&lt;0,"over-predicted","under-predicted")</f>
        <v>over-predicted</v>
      </c>
      <c r="N13" s="7"/>
    </row>
    <row r="14" spans="1:14">
      <c r="A14" s="3" t="s">
        <v>30</v>
      </c>
      <c r="B14" s="3">
        <v>641865.03</v>
      </c>
      <c r="C14" s="3">
        <v>54597.83</v>
      </c>
      <c r="D14" s="3">
        <v>9429</v>
      </c>
      <c r="E14" s="3">
        <v>0.188</v>
      </c>
      <c r="F14" s="3">
        <v>21</v>
      </c>
      <c r="G14" s="3">
        <v>0</v>
      </c>
      <c r="H14" s="3">
        <v>0</v>
      </c>
      <c r="I14" s="3">
        <v>0</v>
      </c>
      <c r="J14" s="3">
        <f>380861.975+(1.114985*C14)+(29.111154*D14)-(82179.332*E14)+(2460.175*F14)+(17099.184*G14)+(35613.769*H14)+(26173.485*I14)</f>
        <v>752440.76813255006</v>
      </c>
      <c r="K14" s="3">
        <f>B14-J14</f>
        <v>-110575.73813255003</v>
      </c>
      <c r="L14" s="1" t="str">
        <f>IF(K14&lt;0,"over-predicted","under-predicted")</f>
        <v>over-predicted</v>
      </c>
      <c r="N14" s="7"/>
    </row>
    <row r="15" spans="1:14">
      <c r="A15" s="3" t="s">
        <v>14</v>
      </c>
      <c r="B15" s="3">
        <v>658920.30000000005</v>
      </c>
      <c r="C15" s="3">
        <v>56856.63</v>
      </c>
      <c r="D15" s="3">
        <v>9431</v>
      </c>
      <c r="E15" s="3">
        <v>0.14199999999999999</v>
      </c>
      <c r="F15" s="3">
        <v>23</v>
      </c>
      <c r="G15" s="3">
        <v>0</v>
      </c>
      <c r="H15" s="3">
        <v>0</v>
      </c>
      <c r="I15" s="3">
        <v>0</v>
      </c>
      <c r="J15" s="3">
        <f>380861.975+(1.114985*C15)+(29.111154*D15)-(82179.332*E15)+(2460.175*F15)+(17099.184*G15)+(35613.769*H15)+(26173.485*I15)</f>
        <v>763718.11783054995</v>
      </c>
      <c r="K15" s="3">
        <f>B15-J15</f>
        <v>-104797.8178305499</v>
      </c>
      <c r="L15" s="1" t="str">
        <f>IF(K15&lt;0,"over-predicted","under-predicted")</f>
        <v>over-predicted</v>
      </c>
      <c r="N15" s="7"/>
    </row>
  </sheetData>
  <mergeCells count="2">
    <mergeCell ref="A1:L1"/>
    <mergeCell ref="A9:L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Original dataset sheet</vt:lpstr>
      <vt:lpstr>Cleaned-prepared data sheet</vt:lpstr>
      <vt:lpstr>Simple_Marketing</vt:lpstr>
      <vt:lpstr>Simple_footfall</vt:lpstr>
      <vt:lpstr>Simple Regression Models</vt:lpstr>
      <vt:lpstr>Dummy variable creation sheet</vt:lpstr>
      <vt:lpstr>Multiple_regression_few</vt:lpstr>
      <vt:lpstr>Multiple Regression Models</vt:lpstr>
      <vt:lpstr>Multiple_regression_all</vt:lpstr>
      <vt:lpstr>residual_analysis</vt:lpstr>
      <vt:lpstr>Top 5 residuals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Amit Dubli</cp:lastModifiedBy>
  <dcterms:modified xsi:type="dcterms:W3CDTF">2026-06-28T04:03:31Z</dcterms:modified>
</cp:coreProperties>
</file>